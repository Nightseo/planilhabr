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álculo VP" sheetId="1" state="visible" r:id="rId1"/>
    <sheet name="Dados Histór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%&quot;"/>
    <numFmt numFmtId="165" formatCode="R$ #,##0.00"/>
    <numFmt numFmtId="166" formatCode="0.0&quot;%&quot;"/>
    <numFmt numFmtId="167" formatCode="yyyy-mm-dd h:mm:ss"/>
    <numFmt numFmtId="168" formatCode="DD/MM/YYYY"/>
  </numFmts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7F7F7F"/>
      <sz val="10"/>
    </font>
    <font>
      <b val="1"/>
      <color rgb="00FFFFFF"/>
      <sz val="11"/>
    </font>
    <font>
      <b val="1"/>
    </font>
    <font>
      <b val="1"/>
      <sz val="12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1F4E78"/>
        <bgColor rgb="001F4E78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0" fillId="3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165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right"/>
    </xf>
    <xf numFmtId="1" fontId="0" fillId="3" borderId="1" applyAlignment="1" pivotButton="0" quotePrefix="0" xfId="0">
      <alignment horizontal="right"/>
    </xf>
    <xf numFmtId="0" fontId="5" fillId="0" borderId="0" pivotButton="0" quotePrefix="0" xfId="0"/>
    <xf numFmtId="165" fontId="5" fillId="4" borderId="2" applyAlignment="1" pivotButton="0" quotePrefix="0" xfId="0">
      <alignment horizontal="right"/>
    </xf>
    <xf numFmtId="0" fontId="4" fillId="0" borderId="1" pivotButton="0" quotePrefix="0" xfId="0"/>
    <xf numFmtId="0" fontId="0" fillId="0" borderId="5" pivotButton="0" quotePrefix="0" xfId="0"/>
    <xf numFmtId="165" fontId="4" fillId="4" borderId="2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164" fontId="4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Análise de Sensibilidade - Taxa vs VP</a:t>
            </a:r>
          </a:p>
        </rich>
      </tx>
    </title>
    <plotArea>
      <lineChart>
        <grouping val="standard"/>
        <ser>
          <idx val="0"/>
          <order val="0"/>
          <tx>
            <strRef>
              <f>'Cálculo VP'!B15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'Cálculo VP'!$A$16:$A$20</f>
            </numRef>
          </cat>
          <val>
            <numRef>
              <f>'Cálculo VP'!$B$16:$B$20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Taxa de Desconto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Presente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</cols>
  <sheetData>
    <row r="1">
      <c r="A1" s="1" t="inlineStr">
        <is>
          <t>CÁLCULO DE VALOR PRESENTE (VP)</t>
        </is>
      </c>
    </row>
    <row r="2">
      <c r="A2" s="2" t="inlineStr">
        <is>
          <t>Análise de Investimentos e Fluxo de Caixa</t>
        </is>
      </c>
    </row>
    <row r="4">
      <c r="A4" s="3" t="inlineStr">
        <is>
          <t>PARÂMETROS DE ENTRADA</t>
        </is>
      </c>
      <c r="D4" s="3" t="inlineStr">
        <is>
          <t>FLUXO DE CAIXA ANUAL</t>
        </is>
      </c>
    </row>
    <row r="5">
      <c r="A5" s="4" t="inlineStr">
        <is>
          <t>Taxa de Desconto (% a.a.)</t>
        </is>
      </c>
      <c r="B5" s="5" t="n">
        <v>8.5</v>
      </c>
      <c r="D5" s="6" t="inlineStr">
        <is>
          <t>Ano</t>
        </is>
      </c>
      <c r="E5" s="6" t="inlineStr">
        <is>
          <t>Fluxo (R$)</t>
        </is>
      </c>
      <c r="F5" s="6" t="inlineStr">
        <is>
          <t>VP Anual (R$)</t>
        </is>
      </c>
    </row>
    <row r="6">
      <c r="A6" s="4" t="inlineStr">
        <is>
          <t>Valor Futuro (R$)</t>
        </is>
      </c>
      <c r="B6" s="7" t="n">
        <v>150000</v>
      </c>
      <c r="D6" s="8" t="n">
        <v>1</v>
      </c>
      <c r="E6" s="9" t="n">
        <v>30000</v>
      </c>
      <c r="F6" s="9">
        <f>E6/(1+$B$5/100)^D6</f>
        <v/>
      </c>
    </row>
    <row r="7">
      <c r="A7" s="4" t="inlineStr">
        <is>
          <t>Período (anos)</t>
        </is>
      </c>
      <c r="B7" s="10" t="n">
        <v>5</v>
      </c>
      <c r="D7" s="8" t="n">
        <v>2</v>
      </c>
      <c r="E7" s="9" t="n">
        <v>30000</v>
      </c>
      <c r="F7" s="9">
        <f>E7/(1+$B$5/100)^D7</f>
        <v/>
      </c>
    </row>
    <row r="8">
      <c r="D8" s="8" t="n">
        <v>3</v>
      </c>
      <c r="E8" s="9" t="n">
        <v>30000</v>
      </c>
      <c r="F8" s="9">
        <f>E8/(1+$B$5/100)^D8</f>
        <v/>
      </c>
    </row>
    <row r="9">
      <c r="A9" s="3" t="inlineStr">
        <is>
          <t>VALOR PRESENTE CALCULADO</t>
        </is>
      </c>
      <c r="D9" s="8" t="n">
        <v>4</v>
      </c>
      <c r="E9" s="9" t="n">
        <v>30000</v>
      </c>
      <c r="F9" s="9">
        <f>E9/(1+$B$5/100)^D9</f>
        <v/>
      </c>
    </row>
    <row r="10">
      <c r="A10" s="11" t="inlineStr">
        <is>
          <t>Valor Presente (VP)</t>
        </is>
      </c>
      <c r="B10" s="12">
        <f>B6/(1+B5/100)^B7</f>
        <v/>
      </c>
      <c r="D10" s="8" t="n">
        <v>5</v>
      </c>
      <c r="E10" s="9" t="n">
        <v>30000</v>
      </c>
      <c r="F10" s="9">
        <f>E10/(1+$B$5/100)^D10</f>
        <v/>
      </c>
    </row>
    <row r="11">
      <c r="A11" s="4" t="inlineStr">
        <is>
          <t>Desconto Total</t>
        </is>
      </c>
      <c r="B11" s="9">
        <f>B6-B10</f>
        <v/>
      </c>
      <c r="D11" s="13" t="inlineStr">
        <is>
          <t>VP Total do Fluxo</t>
        </is>
      </c>
      <c r="E11" s="14" t="n"/>
      <c r="F11" s="15">
        <f>SUM(F6:F10)</f>
        <v/>
      </c>
    </row>
    <row r="12">
      <c r="A12" s="4" t="inlineStr">
        <is>
          <t>Desconto Percentual</t>
        </is>
      </c>
      <c r="B12" s="16">
        <f>(B6-B10)/B6</f>
        <v/>
      </c>
    </row>
    <row r="14">
      <c r="A14" s="3" t="inlineStr">
        <is>
          <t>ANÁLISE DE SENSIBILIDADE</t>
        </is>
      </c>
    </row>
    <row r="15">
      <c r="A15" s="6" t="inlineStr">
        <is>
          <t>Taxa (%)</t>
        </is>
      </c>
      <c r="B15" s="6" t="inlineStr">
        <is>
          <t>VP (R$)</t>
        </is>
      </c>
      <c r="C15" s="6" t="inlineStr">
        <is>
          <t>Diferença</t>
        </is>
      </c>
      <c r="D15" s="6" t="inlineStr">
        <is>
          <t>% Variação</t>
        </is>
      </c>
    </row>
    <row r="16">
      <c r="A16" s="17" t="n">
        <v>5</v>
      </c>
      <c r="B16" s="9">
        <f>$B$6/(1+A16/100)^$B$7</f>
        <v/>
      </c>
      <c r="C16" s="9">
        <f>B16-$B$10</f>
        <v/>
      </c>
      <c r="D16" s="16">
        <f>(B16-$B$10)/$B$10</f>
        <v/>
      </c>
    </row>
    <row r="17">
      <c r="A17" s="17" t="n">
        <v>6.5</v>
      </c>
      <c r="B17" s="9">
        <f>$B$6/(1+A17/100)^$B$7</f>
        <v/>
      </c>
      <c r="C17" s="9">
        <f>B17-$B$10</f>
        <v/>
      </c>
      <c r="D17" s="16">
        <f>(B17-$B$10)/$B$10</f>
        <v/>
      </c>
    </row>
    <row r="18">
      <c r="A18" s="17" t="n">
        <v>8.5</v>
      </c>
      <c r="B18" s="9">
        <f>$B$6/(1+A18/100)^$B$7</f>
        <v/>
      </c>
      <c r="C18" s="9">
        <f>B18-$B$10</f>
        <v/>
      </c>
      <c r="D18" s="16">
        <f>(B18-$B$10)/$B$10</f>
        <v/>
      </c>
    </row>
    <row r="19">
      <c r="A19" s="17" t="n">
        <v>10</v>
      </c>
      <c r="B19" s="9">
        <f>$B$6/(1+A19/100)^$B$7</f>
        <v/>
      </c>
      <c r="C19" s="9">
        <f>B19-$B$10</f>
        <v/>
      </c>
      <c r="D19" s="16">
        <f>(B19-$B$10)/$B$10</f>
        <v/>
      </c>
    </row>
    <row r="20">
      <c r="A20" s="17" t="n">
        <v>12.5</v>
      </c>
      <c r="B20" s="9">
        <f>$B$6/(1+A20/100)^$B$7</f>
        <v/>
      </c>
      <c r="C20" s="9">
        <f>B20-$B$10</f>
        <v/>
      </c>
      <c r="D20" s="16">
        <f>(B20-$B$10)/$B$10</f>
        <v/>
      </c>
    </row>
  </sheetData>
  <mergeCells count="7">
    <mergeCell ref="A4:B4"/>
    <mergeCell ref="A1:D1"/>
    <mergeCell ref="D11:E11"/>
    <mergeCell ref="D4:E4"/>
    <mergeCell ref="A2:D2"/>
    <mergeCell ref="A9:B9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20" customWidth="1" min="5" max="5"/>
  </cols>
  <sheetData>
    <row r="1">
      <c r="A1" s="1" t="inlineStr">
        <is>
          <t>HISTÓRICO DE INVESTIMENTOS</t>
        </is>
      </c>
    </row>
    <row r="3">
      <c r="A3" s="6" t="inlineStr">
        <is>
          <t>Data</t>
        </is>
      </c>
      <c r="B3" s="6" t="inlineStr">
        <is>
          <t>Projeto</t>
        </is>
      </c>
      <c r="C3" s="6" t="inlineStr">
        <is>
          <t>Valor Futuro (R$)</t>
        </is>
      </c>
      <c r="D3" s="6" t="inlineStr">
        <is>
          <t>Valor Presente (R$)</t>
        </is>
      </c>
      <c r="E3" s="6" t="inlineStr">
        <is>
          <t>Taxa Desconto (%)</t>
        </is>
      </c>
    </row>
    <row r="4">
      <c r="A4" s="18" t="n">
        <v>45306</v>
      </c>
      <c r="B4" s="19" t="inlineStr">
        <is>
          <t>Expansão Filial SP</t>
        </is>
      </c>
      <c r="C4" s="9" t="n">
        <v>213258</v>
      </c>
      <c r="D4" s="9">
        <f>C4/(1+E4)^3</f>
        <v/>
      </c>
      <c r="E4" s="16" t="n">
        <v>0.09320846850314457</v>
      </c>
    </row>
    <row r="5">
      <c r="A5" s="18" t="n">
        <v>45324</v>
      </c>
      <c r="B5" s="19" t="inlineStr">
        <is>
          <t>Sistema ERP</t>
        </is>
      </c>
      <c r="C5" s="9" t="n">
        <v>145273</v>
      </c>
      <c r="D5" s="9">
        <f>C5/(1+E5)^3</f>
        <v/>
      </c>
      <c r="E5" s="16" t="n">
        <v>0.09860237553659157</v>
      </c>
    </row>
    <row r="6">
      <c r="A6" s="18" t="n">
        <v>45342</v>
      </c>
      <c r="B6" s="19" t="inlineStr">
        <is>
          <t>Maquinário Industrial</t>
        </is>
      </c>
      <c r="C6" s="9" t="n">
        <v>61334</v>
      </c>
      <c r="D6" s="9">
        <f>C6/(1+E6)^3</f>
        <v/>
      </c>
      <c r="E6" s="16" t="n">
        <v>0.1141987066440416</v>
      </c>
    </row>
    <row r="7">
      <c r="A7" s="18" t="n">
        <v>45360</v>
      </c>
      <c r="B7" s="19" t="inlineStr">
        <is>
          <t>Reformas Instalações</t>
        </is>
      </c>
      <c r="C7" s="9" t="n">
        <v>223502</v>
      </c>
      <c r="D7" s="9">
        <f>C7/(1+E7)^3</f>
        <v/>
      </c>
      <c r="E7" s="16" t="n">
        <v>0.1062279007541068</v>
      </c>
    </row>
    <row r="8">
      <c r="A8" s="18" t="n">
        <v>45378</v>
      </c>
      <c r="B8" s="19" t="inlineStr">
        <is>
          <t>Veículos Frota</t>
        </is>
      </c>
      <c r="C8" s="9" t="n">
        <v>176677</v>
      </c>
      <c r="D8" s="9">
        <f>C8/(1+E8)^3</f>
        <v/>
      </c>
      <c r="E8" s="16" t="n">
        <v>0.08608512756637017</v>
      </c>
    </row>
    <row r="9">
      <c r="A9" s="18" t="n">
        <v>45396</v>
      </c>
      <c r="B9" s="19" t="inlineStr">
        <is>
          <t>Marketing Digital</t>
        </is>
      </c>
      <c r="C9" s="9" t="n">
        <v>134993</v>
      </c>
      <c r="D9" s="9">
        <f>C9/(1+E9)^3</f>
        <v/>
      </c>
      <c r="E9" s="16" t="n">
        <v>0.0910604720244847</v>
      </c>
    </row>
    <row r="10">
      <c r="A10" s="18" t="n">
        <v>45414</v>
      </c>
      <c r="B10" s="19" t="inlineStr">
        <is>
          <t>Capacitação Equipe</t>
        </is>
      </c>
      <c r="C10" s="9" t="n">
        <v>290275</v>
      </c>
      <c r="D10" s="9">
        <f>C10/(1+E10)^3</f>
        <v/>
      </c>
      <c r="E10" s="16" t="n">
        <v>0.07553276997498239</v>
      </c>
    </row>
    <row r="11">
      <c r="A11" s="18" t="n">
        <v>45432</v>
      </c>
      <c r="B11" s="19" t="inlineStr">
        <is>
          <t>Estoque Matéria-Prima</t>
        </is>
      </c>
      <c r="C11" s="9" t="n">
        <v>295384</v>
      </c>
      <c r="D11" s="9">
        <f>C11/(1+E11)^3</f>
        <v/>
      </c>
      <c r="E11" s="16" t="n">
        <v>0.08240243393785535</v>
      </c>
    </row>
    <row r="12">
      <c r="A12" s="18" t="n">
        <v>45450</v>
      </c>
      <c r="B12" s="19" t="inlineStr">
        <is>
          <t>Energia Solar</t>
        </is>
      </c>
      <c r="C12" s="9" t="n">
        <v>263440</v>
      </c>
      <c r="D12" s="9">
        <f>C12/(1+E12)^3</f>
        <v/>
      </c>
      <c r="E12" s="16" t="n">
        <v>0.09092653387752229</v>
      </c>
    </row>
    <row r="13">
      <c r="A13" s="18" t="n">
        <v>45468</v>
      </c>
      <c r="B13" s="19" t="inlineStr">
        <is>
          <t>Automação Processos</t>
        </is>
      </c>
      <c r="C13" s="9" t="n">
        <v>272797</v>
      </c>
      <c r="D13" s="9">
        <f>C13/(1+E13)^3</f>
        <v/>
      </c>
      <c r="E13" s="16" t="n">
        <v>0.09262885190199618</v>
      </c>
    </row>
    <row r="14">
      <c r="A14" s="18" t="n">
        <v>45486</v>
      </c>
      <c r="B14" s="19" t="inlineStr">
        <is>
          <t>Mobiliário Escritório</t>
        </is>
      </c>
      <c r="C14" s="9" t="n">
        <v>151338</v>
      </c>
      <c r="D14" s="9">
        <f>C14/(1+E14)^3</f>
        <v/>
      </c>
      <c r="E14" s="16" t="n">
        <v>0.1174980451735939</v>
      </c>
    </row>
    <row r="15">
      <c r="A15" s="18" t="n">
        <v>45504</v>
      </c>
      <c r="B15" s="19" t="inlineStr">
        <is>
          <t>Infraestrutura TI</t>
        </is>
      </c>
      <c r="C15" s="9" t="n">
        <v>172206</v>
      </c>
      <c r="D15" s="9">
        <f>C15/(1+E15)^3</f>
        <v/>
      </c>
      <c r="E15" s="16" t="n">
        <v>0.1090174521607697</v>
      </c>
    </row>
    <row r="16">
      <c r="A16" s="18" t="n">
        <v>45522</v>
      </c>
      <c r="B16" s="19" t="inlineStr">
        <is>
          <t>Certificação ISO</t>
        </is>
      </c>
      <c r="C16" s="9" t="n">
        <v>200337</v>
      </c>
      <c r="D16" s="9">
        <f>C16/(1+E16)^3</f>
        <v/>
      </c>
      <c r="E16" s="16" t="n">
        <v>0.06910042927826757</v>
      </c>
    </row>
    <row r="17">
      <c r="A17" s="18" t="n">
        <v>45540</v>
      </c>
      <c r="B17" s="19" t="inlineStr">
        <is>
          <t>Pesquisa Mercado</t>
        </is>
      </c>
      <c r="C17" s="9" t="n">
        <v>138420</v>
      </c>
      <c r="D17" s="9">
        <f>C17/(1+E17)^3</f>
        <v/>
      </c>
      <c r="E17" s="16" t="n">
        <v>0.09788440435237414</v>
      </c>
    </row>
    <row r="18">
      <c r="A18" s="18" t="n">
        <v>45558</v>
      </c>
      <c r="B18" s="19" t="inlineStr">
        <is>
          <t>Desenvolvimento Produto</t>
        </is>
      </c>
      <c r="C18" s="9" t="n">
        <v>140840</v>
      </c>
      <c r="D18" s="9">
        <f>C18/(1+E18)^3</f>
        <v/>
      </c>
      <c r="E18" s="16" t="n">
        <v>0.105323681255172</v>
      </c>
    </row>
    <row r="19">
      <c r="A19" s="18" t="n">
        <v>45576</v>
      </c>
      <c r="B19" s="19" t="inlineStr">
        <is>
          <t>Consultoria Gestão</t>
        </is>
      </c>
      <c r="C19" s="9" t="n">
        <v>67715</v>
      </c>
      <c r="D19" s="9">
        <f>C19/(1+E19)^3</f>
        <v/>
      </c>
      <c r="E19" s="16" t="n">
        <v>0.07961544505228187</v>
      </c>
    </row>
    <row r="20">
      <c r="A20" s="18" t="n">
        <v>45594</v>
      </c>
      <c r="B20" s="19" t="inlineStr">
        <is>
          <t>Software CRM</t>
        </is>
      </c>
      <c r="C20" s="9" t="n">
        <v>289348</v>
      </c>
      <c r="D20" s="9">
        <f>C20/(1+E20)^3</f>
        <v/>
      </c>
      <c r="E20" s="16" t="n">
        <v>0.09063125395697642</v>
      </c>
    </row>
    <row r="21">
      <c r="A21" s="18" t="n">
        <v>45612</v>
      </c>
      <c r="B21" s="19" t="inlineStr">
        <is>
          <t>Logística Distribuição</t>
        </is>
      </c>
      <c r="C21" s="9" t="n">
        <v>70537</v>
      </c>
      <c r="D21" s="9">
        <f>C21/(1+E21)^3</f>
        <v/>
      </c>
      <c r="E21" s="16" t="n">
        <v>0.09671684245111049</v>
      </c>
    </row>
    <row r="22">
      <c r="A22" s="18" t="n">
        <v>45630</v>
      </c>
      <c r="B22" s="19" t="inlineStr">
        <is>
          <t>Renovação Equipamentos</t>
        </is>
      </c>
      <c r="C22" s="9" t="n">
        <v>220465</v>
      </c>
      <c r="D22" s="9">
        <f>C22/(1+E22)^3</f>
        <v/>
      </c>
      <c r="E22" s="16" t="n">
        <v>0.08546257111705124</v>
      </c>
    </row>
    <row r="23">
      <c r="A23" s="18" t="n">
        <v>45648</v>
      </c>
      <c r="B23" s="19" t="inlineStr">
        <is>
          <t>Projeto Exportação</t>
        </is>
      </c>
      <c r="C23" s="9" t="n">
        <v>169407</v>
      </c>
      <c r="D23" s="9">
        <f>C23/(1+E23)^3</f>
        <v/>
      </c>
      <c r="E23" s="16" t="n">
        <v>0.07139783135133251</v>
      </c>
    </row>
    <row r="25">
      <c r="A25" s="20" t="inlineStr">
        <is>
          <t>TOTAIS</t>
        </is>
      </c>
      <c r="C25" s="15">
        <f>SUM(C4:C23)</f>
        <v/>
      </c>
      <c r="D25" s="15">
        <f>SUM(D4:D23)</f>
        <v/>
      </c>
      <c r="E25" s="21">
        <f>AVERAGE(E4:E23)</f>
        <v/>
      </c>
    </row>
  </sheetData>
  <mergeCells count="2">
    <mergeCell ref="A25:B2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2025-12-15T12:50:10Z</dcterms:created>
  <dcterms:modified xsi:type="dcterms:W3CDTF">2025-12-15T12:50:10Z</dcterms:modified>
</cp:coreProperties>
</file>
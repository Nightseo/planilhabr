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 Detalhadas" sheetId="1" state="visible" r:id="rId1"/>
    <sheet name="Resumo por Vendedor" sheetId="2" state="visible" r:id="rId2"/>
    <sheet name="Resumo por Produto" sheetId="3" state="visible" r:id="rId3"/>
  </sheets>
  <definedNames>
    <definedName name="_xlnm._FilterDatabase" localSheetId="0" hidden="1">'Vendas Detalhadas'!$A$2:$H$27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sz val="12"/>
    </font>
    <font>
      <b val="1"/>
      <color rgb="00FFFFFF"/>
      <sz val="12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5"/>
        <bgColor rgb="002E75B5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164" fontId="0" fillId="4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164" fontId="4" fillId="3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vertical="center"/>
    </xf>
    <xf numFmtId="10" fontId="0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/>
    </xf>
    <xf numFmtId="164" fontId="6" fillId="3" borderId="0" pivotButton="0" quotePrefix="0" xfId="0"/>
    <xf numFmtId="1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Vendas por Vendedor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 por Vendedor'!C2</f>
            </strRef>
          </tx>
          <spPr>
            <a:ln>
              <a:prstDash val="solid"/>
            </a:ln>
          </spPr>
          <cat>
            <numRef>
              <f>'Resumo por Vendedor'!$A$3:$A$7</f>
            </numRef>
          </cat>
          <val>
            <numRef>
              <f>'Resumo por Vendedor'!$C$3:$C$7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Vendedor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Participação de Vendas por Produto</a:t>
            </a:r>
          </a:p>
        </rich>
      </tx>
    </title>
    <plotArea>
      <pieChart>
        <varyColors val="1"/>
        <ser>
          <idx val="0"/>
          <order val="0"/>
          <tx>
            <strRef>
              <f>'Resumo por Produto'!C2</f>
            </strRef>
          </tx>
          <spPr>
            <a:ln>
              <a:prstDash val="solid"/>
            </a:ln>
          </spPr>
          <cat>
            <numRef>
              <f>'Resumo por Produto'!$A$3:$A$9</f>
            </numRef>
          </cat>
          <val>
            <numRef>
              <f>'Resumo por Produto'!$C$3:$C$9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0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RELATÓRIO DE VENDAS - 2024</t>
        </is>
      </c>
    </row>
    <row r="2">
      <c r="A2" s="2" t="inlineStr">
        <is>
          <t>Data</t>
        </is>
      </c>
      <c r="B2" s="2" t="inlineStr">
        <is>
          <t>Vendedor</t>
        </is>
      </c>
      <c r="C2" s="2" t="inlineStr">
        <is>
          <t>Cliente</t>
        </is>
      </c>
      <c r="D2" s="2" t="inlineStr">
        <is>
          <t>Produto</t>
        </is>
      </c>
      <c r="E2" s="2" t="inlineStr">
        <is>
          <t>Quantidade</t>
        </is>
      </c>
      <c r="F2" s="2" t="inlineStr">
        <is>
          <t>Preço Unit. (R$)</t>
        </is>
      </c>
      <c r="G2" s="2" t="inlineStr">
        <is>
          <t>Total (R$)</t>
        </is>
      </c>
      <c r="H2" s="2" t="inlineStr">
        <is>
          <t>Região</t>
        </is>
      </c>
    </row>
    <row r="3">
      <c r="A3" s="3" t="inlineStr">
        <is>
          <t>03.01.2024</t>
        </is>
      </c>
      <c r="B3" s="3" t="inlineStr">
        <is>
          <t>Oliveira, Pedro</t>
        </is>
      </c>
      <c r="C3" s="3" t="inlineStr">
        <is>
          <t>CompuCenter Ltda</t>
        </is>
      </c>
      <c r="D3" s="3" t="inlineStr">
        <is>
          <t>Memória RAM 16GB</t>
        </is>
      </c>
      <c r="E3" s="3" t="n">
        <v>10</v>
      </c>
      <c r="F3" s="4" t="n">
        <v>449.9</v>
      </c>
      <c r="G3" s="4">
        <f>E3*F3</f>
        <v/>
      </c>
      <c r="H3" s="3" t="inlineStr">
        <is>
          <t>Santa Catarina</t>
        </is>
      </c>
    </row>
    <row r="4">
      <c r="A4" s="5" t="inlineStr">
        <is>
          <t>06.01.2024</t>
        </is>
      </c>
      <c r="B4" s="5" t="inlineStr">
        <is>
          <t>Ferreira, Carlos</t>
        </is>
      </c>
      <c r="C4" s="5" t="inlineStr">
        <is>
          <t>InfoSystem Ltda</t>
        </is>
      </c>
      <c r="D4" s="5" t="inlineStr">
        <is>
          <t>Webcam HD</t>
        </is>
      </c>
      <c r="E4" s="5" t="n">
        <v>2</v>
      </c>
      <c r="F4" s="6" t="n">
        <v>189.9</v>
      </c>
      <c r="G4" s="6">
        <f>E4*F4</f>
        <v/>
      </c>
      <c r="H4" s="5" t="inlineStr">
        <is>
          <t>Santa Catarina</t>
        </is>
      </c>
    </row>
    <row r="5">
      <c r="A5" s="3" t="inlineStr">
        <is>
          <t>08.01.2024</t>
        </is>
      </c>
      <c r="B5" s="3" t="inlineStr">
        <is>
          <t>Santos, Maria</t>
        </is>
      </c>
      <c r="C5" s="3" t="inlineStr">
        <is>
          <t>Informática Brasil SA</t>
        </is>
      </c>
      <c r="D5" s="3" t="inlineStr">
        <is>
          <t>Mouse Logitech</t>
        </is>
      </c>
      <c r="E5" s="3" t="n">
        <v>4</v>
      </c>
      <c r="F5" s="4" t="n">
        <v>89.90000000000001</v>
      </c>
      <c r="G5" s="4">
        <f>E5*F5</f>
        <v/>
      </c>
      <c r="H5" s="3" t="inlineStr">
        <is>
          <t>São Paulo</t>
        </is>
      </c>
    </row>
    <row r="6">
      <c r="A6" s="5" t="inlineStr">
        <is>
          <t>12.01.2024</t>
        </is>
      </c>
      <c r="B6" s="5" t="inlineStr">
        <is>
          <t>Ferreira, Carlos</t>
        </is>
      </c>
      <c r="C6" s="5" t="inlineStr">
        <is>
          <t>Tech Solutions Ltda</t>
        </is>
      </c>
      <c r="D6" s="5" t="inlineStr">
        <is>
          <t>Headset Gamer</t>
        </is>
      </c>
      <c r="E6" s="5" t="n">
        <v>8</v>
      </c>
      <c r="F6" s="6" t="n">
        <v>249.9</v>
      </c>
      <c r="G6" s="6">
        <f>E6*F6</f>
        <v/>
      </c>
      <c r="H6" s="5" t="inlineStr">
        <is>
          <t>Paraná</t>
        </is>
      </c>
    </row>
    <row r="7">
      <c r="A7" s="3" t="inlineStr">
        <is>
          <t>23.01.2024</t>
        </is>
      </c>
      <c r="B7" s="3" t="inlineStr">
        <is>
          <t>Costa, Ana</t>
        </is>
      </c>
      <c r="C7" s="3" t="inlineStr">
        <is>
          <t>Digital Store ME</t>
        </is>
      </c>
      <c r="D7" s="3" t="inlineStr">
        <is>
          <t>Mouse Logitech</t>
        </is>
      </c>
      <c r="E7" s="3" t="n">
        <v>7</v>
      </c>
      <c r="F7" s="4" t="n">
        <v>89.90000000000001</v>
      </c>
      <c r="G7" s="4">
        <f>E7*F7</f>
        <v/>
      </c>
      <c r="H7" s="3" t="inlineStr">
        <is>
          <t>São Paulo</t>
        </is>
      </c>
    </row>
    <row r="8">
      <c r="A8" s="5" t="inlineStr">
        <is>
          <t>30.01.2024</t>
        </is>
      </c>
      <c r="B8" s="5" t="inlineStr">
        <is>
          <t>Silva, João</t>
        </is>
      </c>
      <c r="C8" s="5" t="inlineStr">
        <is>
          <t>Tech Solutions Ltda</t>
        </is>
      </c>
      <c r="D8" s="5" t="inlineStr">
        <is>
          <t>Teclado Mecânico</t>
        </is>
      </c>
      <c r="E8" s="5" t="n">
        <v>10</v>
      </c>
      <c r="F8" s="6" t="n">
        <v>349.9</v>
      </c>
      <c r="G8" s="6">
        <f>E8*F8</f>
        <v/>
      </c>
      <c r="H8" s="5" t="inlineStr">
        <is>
          <t>São Paulo</t>
        </is>
      </c>
    </row>
    <row r="9">
      <c r="A9" s="3" t="inlineStr">
        <is>
          <t>02.02.2024</t>
        </is>
      </c>
      <c r="B9" s="3" t="inlineStr">
        <is>
          <t>Costa, Ana</t>
        </is>
      </c>
      <c r="C9" s="3" t="inlineStr">
        <is>
          <t>Tech Solutions Ltda</t>
        </is>
      </c>
      <c r="D9" s="3" t="inlineStr">
        <is>
          <t>Mouse Logitech</t>
        </is>
      </c>
      <c r="E9" s="3" t="n">
        <v>1</v>
      </c>
      <c r="F9" s="4" t="n">
        <v>89.90000000000001</v>
      </c>
      <c r="G9" s="4">
        <f>E9*F9</f>
        <v/>
      </c>
      <c r="H9" s="3" t="inlineStr">
        <is>
          <t>São Paulo</t>
        </is>
      </c>
    </row>
    <row r="10">
      <c r="A10" s="5" t="inlineStr">
        <is>
          <t>03.02.2024</t>
        </is>
      </c>
      <c r="B10" s="5" t="inlineStr">
        <is>
          <t>Ferreira, Carlos</t>
        </is>
      </c>
      <c r="C10" s="5" t="inlineStr">
        <is>
          <t>Informática Brasil SA</t>
        </is>
      </c>
      <c r="D10" s="5" t="inlineStr">
        <is>
          <t>Headset Gamer</t>
        </is>
      </c>
      <c r="E10" s="5" t="n">
        <v>4</v>
      </c>
      <c r="F10" s="6" t="n">
        <v>249.9</v>
      </c>
      <c r="G10" s="6">
        <f>E10*F10</f>
        <v/>
      </c>
      <c r="H10" s="5" t="inlineStr">
        <is>
          <t>Santa Catarina</t>
        </is>
      </c>
    </row>
    <row r="11">
      <c r="A11" s="3" t="inlineStr">
        <is>
          <t>04.02.2024</t>
        </is>
      </c>
      <c r="B11" s="3" t="inlineStr">
        <is>
          <t>Silva, João</t>
        </is>
      </c>
      <c r="C11" s="3" t="inlineStr">
        <is>
          <t>TechMart Brasil</t>
        </is>
      </c>
      <c r="D11" s="3" t="inlineStr">
        <is>
          <t>Webcam HD</t>
        </is>
      </c>
      <c r="E11" s="3" t="n">
        <v>8</v>
      </c>
      <c r="F11" s="4" t="n">
        <v>189.9</v>
      </c>
      <c r="G11" s="4">
        <f>E11*F11</f>
        <v/>
      </c>
      <c r="H11" s="3" t="inlineStr">
        <is>
          <t>São Paulo</t>
        </is>
      </c>
    </row>
    <row r="12">
      <c r="A12" s="5" t="inlineStr">
        <is>
          <t>04.02.2024</t>
        </is>
      </c>
      <c r="B12" s="5" t="inlineStr">
        <is>
          <t>Oliveira, Pedro</t>
        </is>
      </c>
      <c r="C12" s="5" t="inlineStr">
        <is>
          <t>Tech Solutions Ltda</t>
        </is>
      </c>
      <c r="D12" s="5" t="inlineStr">
        <is>
          <t>Notebook Dell</t>
        </is>
      </c>
      <c r="E12" s="5" t="n">
        <v>3</v>
      </c>
      <c r="F12" s="6" t="n">
        <v>3299.9</v>
      </c>
      <c r="G12" s="6">
        <f>E12*F12</f>
        <v/>
      </c>
      <c r="H12" s="5" t="inlineStr">
        <is>
          <t>Santa Catarina</t>
        </is>
      </c>
    </row>
    <row r="13">
      <c r="A13" s="3" t="inlineStr">
        <is>
          <t>05.02.2024</t>
        </is>
      </c>
      <c r="B13" s="3" t="inlineStr">
        <is>
          <t>Ferreira, Carlos</t>
        </is>
      </c>
      <c r="C13" s="3" t="inlineStr">
        <is>
          <t>Informática Brasil SA</t>
        </is>
      </c>
      <c r="D13" s="3" t="inlineStr">
        <is>
          <t>Notebook Dell</t>
        </is>
      </c>
      <c r="E13" s="3" t="n">
        <v>1</v>
      </c>
      <c r="F13" s="4" t="n">
        <v>3299.9</v>
      </c>
      <c r="G13" s="4">
        <f>E13*F13</f>
        <v/>
      </c>
      <c r="H13" s="3" t="inlineStr">
        <is>
          <t>Rio de Janeiro</t>
        </is>
      </c>
    </row>
    <row r="14">
      <c r="A14" s="5" t="inlineStr">
        <is>
          <t>05.02.2024</t>
        </is>
      </c>
      <c r="B14" s="5" t="inlineStr">
        <is>
          <t>Santos, Maria</t>
        </is>
      </c>
      <c r="C14" s="5" t="inlineStr">
        <is>
          <t>Mega Eletrônicos</t>
        </is>
      </c>
      <c r="D14" s="5" t="inlineStr">
        <is>
          <t>Notebook Dell</t>
        </is>
      </c>
      <c r="E14" s="5" t="n">
        <v>3</v>
      </c>
      <c r="F14" s="6" t="n">
        <v>3299.9</v>
      </c>
      <c r="G14" s="6">
        <f>E14*F14</f>
        <v/>
      </c>
      <c r="H14" s="5" t="inlineStr">
        <is>
          <t>Minas Gerais</t>
        </is>
      </c>
    </row>
    <row r="15">
      <c r="A15" s="3" t="inlineStr">
        <is>
          <t>11.02.2024</t>
        </is>
      </c>
      <c r="B15" s="3" t="inlineStr">
        <is>
          <t>Ferreira, Carlos</t>
        </is>
      </c>
      <c r="C15" s="3" t="inlineStr">
        <is>
          <t>Digital Store ME</t>
        </is>
      </c>
      <c r="D15" s="3" t="inlineStr">
        <is>
          <t>Webcam HD</t>
        </is>
      </c>
      <c r="E15" s="3" t="n">
        <v>3</v>
      </c>
      <c r="F15" s="4" t="n">
        <v>189.9</v>
      </c>
      <c r="G15" s="4">
        <f>E15*F15</f>
        <v/>
      </c>
      <c r="H15" s="3" t="inlineStr">
        <is>
          <t>Rio de Janeiro</t>
        </is>
      </c>
    </row>
    <row r="16">
      <c r="A16" s="5" t="inlineStr">
        <is>
          <t>12.02.2024</t>
        </is>
      </c>
      <c r="B16" s="5" t="inlineStr">
        <is>
          <t>Costa, Ana</t>
        </is>
      </c>
      <c r="C16" s="5" t="inlineStr">
        <is>
          <t>Mega Eletrônicos</t>
        </is>
      </c>
      <c r="D16" s="5" t="inlineStr">
        <is>
          <t>Notebook Dell</t>
        </is>
      </c>
      <c r="E16" s="5" t="n">
        <v>8</v>
      </c>
      <c r="F16" s="6" t="n">
        <v>3299.9</v>
      </c>
      <c r="G16" s="6">
        <f>E16*F16</f>
        <v/>
      </c>
      <c r="H16" s="5" t="inlineStr">
        <is>
          <t>Minas Gerais</t>
        </is>
      </c>
    </row>
    <row r="17">
      <c r="A17" s="3" t="inlineStr">
        <is>
          <t>18.02.2024</t>
        </is>
      </c>
      <c r="B17" s="3" t="inlineStr">
        <is>
          <t>Costa, Ana</t>
        </is>
      </c>
      <c r="C17" s="3" t="inlineStr">
        <is>
          <t>InfoSystem Ltda</t>
        </is>
      </c>
      <c r="D17" s="3" t="inlineStr">
        <is>
          <t>SSD 500GB</t>
        </is>
      </c>
      <c r="E17" s="3" t="n">
        <v>7</v>
      </c>
      <c r="F17" s="4" t="n">
        <v>299.9</v>
      </c>
      <c r="G17" s="4">
        <f>E17*F17</f>
        <v/>
      </c>
      <c r="H17" s="3" t="inlineStr">
        <is>
          <t>Santa Catarina</t>
        </is>
      </c>
    </row>
    <row r="18">
      <c r="A18" s="5" t="inlineStr">
        <is>
          <t>20.02.2024</t>
        </is>
      </c>
      <c r="B18" s="5" t="inlineStr">
        <is>
          <t>Silva, João</t>
        </is>
      </c>
      <c r="C18" s="5" t="inlineStr">
        <is>
          <t>Mega Eletrônicos</t>
        </is>
      </c>
      <c r="D18" s="5" t="inlineStr">
        <is>
          <t>Webcam HD</t>
        </is>
      </c>
      <c r="E18" s="5" t="n">
        <v>2</v>
      </c>
      <c r="F18" s="6" t="n">
        <v>189.9</v>
      </c>
      <c r="G18" s="6">
        <f>E18*F18</f>
        <v/>
      </c>
      <c r="H18" s="5" t="inlineStr">
        <is>
          <t>Paraná</t>
        </is>
      </c>
    </row>
    <row r="19">
      <c r="A19" s="3" t="inlineStr">
        <is>
          <t>27.02.2024</t>
        </is>
      </c>
      <c r="B19" s="3" t="inlineStr">
        <is>
          <t>Santos, Maria</t>
        </is>
      </c>
      <c r="C19" s="3" t="inlineStr">
        <is>
          <t>CompuCenter Ltda</t>
        </is>
      </c>
      <c r="D19" s="3" t="inlineStr">
        <is>
          <t>Teclado Mecânico</t>
        </is>
      </c>
      <c r="E19" s="3" t="n">
        <v>3</v>
      </c>
      <c r="F19" s="4" t="n">
        <v>349.9</v>
      </c>
      <c r="G19" s="4">
        <f>E19*F19</f>
        <v/>
      </c>
      <c r="H19" s="3" t="inlineStr">
        <is>
          <t>Paraná</t>
        </is>
      </c>
    </row>
    <row r="20">
      <c r="A20" s="5" t="inlineStr">
        <is>
          <t>03.03.2024</t>
        </is>
      </c>
      <c r="B20" s="5" t="inlineStr">
        <is>
          <t>Ferreira, Carlos</t>
        </is>
      </c>
      <c r="C20" s="5" t="inlineStr">
        <is>
          <t>Tech Solutions Ltda</t>
        </is>
      </c>
      <c r="D20" s="5" t="inlineStr">
        <is>
          <t>Mouse Logitech</t>
        </is>
      </c>
      <c r="E20" s="5" t="n">
        <v>5</v>
      </c>
      <c r="F20" s="6" t="n">
        <v>89.90000000000001</v>
      </c>
      <c r="G20" s="6">
        <f>E20*F20</f>
        <v/>
      </c>
      <c r="H20" s="5" t="inlineStr">
        <is>
          <t>São Paulo</t>
        </is>
      </c>
    </row>
    <row r="21">
      <c r="A21" s="3" t="inlineStr">
        <is>
          <t>07.03.2024</t>
        </is>
      </c>
      <c r="B21" s="3" t="inlineStr">
        <is>
          <t>Silva, João</t>
        </is>
      </c>
      <c r="C21" s="3" t="inlineStr">
        <is>
          <t>Informática Brasil SA</t>
        </is>
      </c>
      <c r="D21" s="3" t="inlineStr">
        <is>
          <t>Notebook Dell</t>
        </is>
      </c>
      <c r="E21" s="3" t="n">
        <v>2</v>
      </c>
      <c r="F21" s="4" t="n">
        <v>3299.9</v>
      </c>
      <c r="G21" s="4">
        <f>E21*F21</f>
        <v/>
      </c>
      <c r="H21" s="3" t="inlineStr">
        <is>
          <t>Rio de Janeiro</t>
        </is>
      </c>
    </row>
    <row r="22">
      <c r="A22" s="5" t="inlineStr">
        <is>
          <t>08.03.2024</t>
        </is>
      </c>
      <c r="B22" s="5" t="inlineStr">
        <is>
          <t>Santos, Maria</t>
        </is>
      </c>
      <c r="C22" s="5" t="inlineStr">
        <is>
          <t>ByteShop ME</t>
        </is>
      </c>
      <c r="D22" s="5" t="inlineStr">
        <is>
          <t>Teclado Mecânico</t>
        </is>
      </c>
      <c r="E22" s="5" t="n">
        <v>10</v>
      </c>
      <c r="F22" s="6" t="n">
        <v>349.9</v>
      </c>
      <c r="G22" s="6">
        <f>E22*F22</f>
        <v/>
      </c>
      <c r="H22" s="5" t="inlineStr">
        <is>
          <t>Minas Gerais</t>
        </is>
      </c>
    </row>
    <row r="23">
      <c r="A23" s="3" t="inlineStr">
        <is>
          <t>09.03.2024</t>
        </is>
      </c>
      <c r="B23" s="3" t="inlineStr">
        <is>
          <t>Santos, Maria</t>
        </is>
      </c>
      <c r="C23" s="3" t="inlineStr">
        <is>
          <t>CompuCenter Ltda</t>
        </is>
      </c>
      <c r="D23" s="3" t="inlineStr">
        <is>
          <t>Mouse Logitech</t>
        </is>
      </c>
      <c r="E23" s="3" t="n">
        <v>8</v>
      </c>
      <c r="F23" s="4" t="n">
        <v>89.90000000000001</v>
      </c>
      <c r="G23" s="4">
        <f>E23*F23</f>
        <v/>
      </c>
      <c r="H23" s="3" t="inlineStr">
        <is>
          <t>Paraná</t>
        </is>
      </c>
    </row>
    <row r="24">
      <c r="A24" s="5" t="inlineStr">
        <is>
          <t>15.03.2024</t>
        </is>
      </c>
      <c r="B24" s="5" t="inlineStr">
        <is>
          <t>Silva, João</t>
        </is>
      </c>
      <c r="C24" s="5" t="inlineStr">
        <is>
          <t>TechMart Brasil</t>
        </is>
      </c>
      <c r="D24" s="5" t="inlineStr">
        <is>
          <t>Mouse Logitech</t>
        </is>
      </c>
      <c r="E24" s="5" t="n">
        <v>5</v>
      </c>
      <c r="F24" s="6" t="n">
        <v>89.90000000000001</v>
      </c>
      <c r="G24" s="6">
        <f>E24*F24</f>
        <v/>
      </c>
      <c r="H24" s="5" t="inlineStr">
        <is>
          <t>Santa Catarina</t>
        </is>
      </c>
    </row>
    <row r="25">
      <c r="A25" s="3" t="inlineStr">
        <is>
          <t>20.03.2024</t>
        </is>
      </c>
      <c r="B25" s="3" t="inlineStr">
        <is>
          <t>Silva, João</t>
        </is>
      </c>
      <c r="C25" s="3" t="inlineStr">
        <is>
          <t>Digital Store ME</t>
        </is>
      </c>
      <c r="D25" s="3" t="inlineStr">
        <is>
          <t>Headset Gamer</t>
        </is>
      </c>
      <c r="E25" s="3" t="n">
        <v>7</v>
      </c>
      <c r="F25" s="4" t="n">
        <v>249.9</v>
      </c>
      <c r="G25" s="4">
        <f>E25*F25</f>
        <v/>
      </c>
      <c r="H25" s="3" t="inlineStr">
        <is>
          <t>Paraná</t>
        </is>
      </c>
    </row>
    <row r="26">
      <c r="A26" s="5" t="inlineStr">
        <is>
          <t>21.03.2024</t>
        </is>
      </c>
      <c r="B26" s="5" t="inlineStr">
        <is>
          <t>Oliveira, Pedro</t>
        </is>
      </c>
      <c r="C26" s="5" t="inlineStr">
        <is>
          <t>Tech Solutions Ltda</t>
        </is>
      </c>
      <c r="D26" s="5" t="inlineStr">
        <is>
          <t>Webcam HD</t>
        </is>
      </c>
      <c r="E26" s="5" t="n">
        <v>1</v>
      </c>
      <c r="F26" s="6" t="n">
        <v>189.9</v>
      </c>
      <c r="G26" s="6">
        <f>E26*F26</f>
        <v/>
      </c>
      <c r="H26" s="5" t="inlineStr">
        <is>
          <t>Rio de Janeiro</t>
        </is>
      </c>
    </row>
    <row r="27">
      <c r="A27" s="3" t="inlineStr">
        <is>
          <t>27.03.2024</t>
        </is>
      </c>
      <c r="B27" s="3" t="inlineStr">
        <is>
          <t>Oliveira, Pedro</t>
        </is>
      </c>
      <c r="C27" s="3" t="inlineStr">
        <is>
          <t>ByteShop ME</t>
        </is>
      </c>
      <c r="D27" s="3" t="inlineStr">
        <is>
          <t>Webcam HD</t>
        </is>
      </c>
      <c r="E27" s="3" t="n">
        <v>8</v>
      </c>
      <c r="F27" s="4" t="n">
        <v>189.9</v>
      </c>
      <c r="G27" s="4">
        <f>E27*F27</f>
        <v/>
      </c>
      <c r="H27" s="3" t="inlineStr">
        <is>
          <t>Rio de Janeiro</t>
        </is>
      </c>
    </row>
    <row r="28">
      <c r="F28" s="7" t="inlineStr">
        <is>
          <t>TOTAL GERAL:</t>
        </is>
      </c>
      <c r="G28" s="8">
        <f>SUM(G3:G27)</f>
        <v/>
      </c>
    </row>
  </sheetData>
  <autoFilter ref="A2:H27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5" customWidth="1" min="4" max="4"/>
  </cols>
  <sheetData>
    <row r="1" ht="30" customHeight="1">
      <c r="A1" s="1" t="inlineStr">
        <is>
          <t>RESUMO DE VENDAS POR VENDEDOR</t>
        </is>
      </c>
    </row>
    <row r="2">
      <c r="A2" s="9" t="inlineStr">
        <is>
          <t>Vendedor</t>
        </is>
      </c>
      <c r="B2" s="9" t="inlineStr">
        <is>
          <t>Qtd. Vendas</t>
        </is>
      </c>
      <c r="C2" s="9" t="inlineStr">
        <is>
          <t>Total Vendido (R$)</t>
        </is>
      </c>
      <c r="D2" s="9" t="inlineStr">
        <is>
          <t>% do Total</t>
        </is>
      </c>
    </row>
    <row r="3">
      <c r="A3" s="10" t="inlineStr">
        <is>
          <t>Costa, Ana</t>
        </is>
      </c>
      <c r="B3" s="10" t="n">
        <v>4</v>
      </c>
      <c r="C3" s="11" t="n">
        <v>29217.7</v>
      </c>
      <c r="D3" s="12">
        <f>C3/82747.0</f>
        <v/>
      </c>
    </row>
    <row r="4">
      <c r="A4" s="13" t="inlineStr">
        <is>
          <t>Oliveira, Pedro</t>
        </is>
      </c>
      <c r="B4" s="13" t="n">
        <v>4</v>
      </c>
      <c r="C4" s="14" t="n">
        <v>16107.8</v>
      </c>
      <c r="D4" s="15">
        <f>C4/82747.0</f>
        <v/>
      </c>
    </row>
    <row r="5">
      <c r="A5" s="10" t="inlineStr">
        <is>
          <t>Santos, Maria</t>
        </is>
      </c>
      <c r="B5" s="10" t="n">
        <v>5</v>
      </c>
      <c r="C5" s="11" t="n">
        <v>15527.2</v>
      </c>
      <c r="D5" s="12">
        <f>C5/82747.0</f>
        <v/>
      </c>
    </row>
    <row r="6">
      <c r="A6" s="13" t="inlineStr">
        <is>
          <t>Silva, João</t>
        </is>
      </c>
      <c r="B6" s="13" t="n">
        <v>6</v>
      </c>
      <c r="C6" s="14" t="n">
        <v>14196.6</v>
      </c>
      <c r="D6" s="15">
        <f>C6/82747.0</f>
        <v/>
      </c>
    </row>
    <row r="7">
      <c r="A7" s="10" t="inlineStr">
        <is>
          <t>Ferreira, Carlos</t>
        </is>
      </c>
      <c r="B7" s="10" t="n">
        <v>6</v>
      </c>
      <c r="C7" s="11" t="n">
        <v>7697.7</v>
      </c>
      <c r="D7" s="12">
        <f>C7/82747.0</f>
        <v/>
      </c>
    </row>
    <row r="8">
      <c r="B8" s="16" t="inlineStr">
        <is>
          <t>TOTAL:</t>
        </is>
      </c>
      <c r="C8" s="17">
        <f>SUM(C3:C7)</f>
        <v/>
      </c>
      <c r="D8" s="18">
        <f>SUM(D3:D7)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0" customWidth="1" min="3" max="3"/>
    <col width="15" customWidth="1" min="4" max="4"/>
  </cols>
  <sheetData>
    <row r="1" ht="30" customHeight="1">
      <c r="A1" s="1" t="inlineStr">
        <is>
          <t>RESUMO DE VENDAS POR PRODUTO</t>
        </is>
      </c>
    </row>
    <row r="2">
      <c r="A2" s="9" t="inlineStr">
        <is>
          <t>Produto</t>
        </is>
      </c>
      <c r="B2" s="9" t="inlineStr">
        <is>
          <t>Qtd. Vendida</t>
        </is>
      </c>
      <c r="C2" s="9" t="inlineStr">
        <is>
          <t>Total Vendido (R$)</t>
        </is>
      </c>
      <c r="D2" s="9" t="inlineStr">
        <is>
          <t>% do Total</t>
        </is>
      </c>
    </row>
    <row r="3">
      <c r="A3" s="10" t="inlineStr">
        <is>
          <t>Notebook Dell</t>
        </is>
      </c>
      <c r="B3" s="10" t="n">
        <v>17</v>
      </c>
      <c r="C3" s="11" t="n">
        <v>56098.3</v>
      </c>
      <c r="D3" s="12">
        <f>C3/82747.0</f>
        <v/>
      </c>
    </row>
    <row r="4">
      <c r="A4" s="13" t="inlineStr">
        <is>
          <t>Teclado Mecânico</t>
        </is>
      </c>
      <c r="B4" s="13" t="n">
        <v>23</v>
      </c>
      <c r="C4" s="14" t="n">
        <v>8047.7</v>
      </c>
      <c r="D4" s="15">
        <f>C4/82747.0</f>
        <v/>
      </c>
    </row>
    <row r="5">
      <c r="A5" s="10" t="inlineStr">
        <is>
          <t>Headset Gamer</t>
        </is>
      </c>
      <c r="B5" s="10" t="n">
        <v>19</v>
      </c>
      <c r="C5" s="11" t="n">
        <v>4748.1</v>
      </c>
      <c r="D5" s="12">
        <f>C5/82747.0</f>
        <v/>
      </c>
    </row>
    <row r="6">
      <c r="A6" s="13" t="inlineStr">
        <is>
          <t>Webcam HD</t>
        </is>
      </c>
      <c r="B6" s="13" t="n">
        <v>24</v>
      </c>
      <c r="C6" s="14" t="n">
        <v>4557.6</v>
      </c>
      <c r="D6" s="15">
        <f>C6/82747.0</f>
        <v/>
      </c>
    </row>
    <row r="7">
      <c r="A7" s="10" t="inlineStr">
        <is>
          <t>Memória RAM 16GB</t>
        </is>
      </c>
      <c r="B7" s="10" t="n">
        <v>10</v>
      </c>
      <c r="C7" s="11" t="n">
        <v>4499</v>
      </c>
      <c r="D7" s="12">
        <f>C7/82747.0</f>
        <v/>
      </c>
    </row>
    <row r="8">
      <c r="A8" s="13" t="inlineStr">
        <is>
          <t>Mouse Logitech</t>
        </is>
      </c>
      <c r="B8" s="13" t="n">
        <v>30</v>
      </c>
      <c r="C8" s="14" t="n">
        <v>2697</v>
      </c>
      <c r="D8" s="15">
        <f>C8/82747.0</f>
        <v/>
      </c>
    </row>
    <row r="9">
      <c r="A9" s="10" t="inlineStr">
        <is>
          <t>SSD 500GB</t>
        </is>
      </c>
      <c r="B9" s="10" t="n">
        <v>7</v>
      </c>
      <c r="C9" s="11" t="n">
        <v>2099.3</v>
      </c>
      <c r="D9" s="12">
        <f>C9/82747.0</f>
        <v/>
      </c>
    </row>
    <row r="10">
      <c r="B10" s="16" t="inlineStr">
        <is>
          <t>TOTAL:</t>
        </is>
      </c>
      <c r="C10" s="17">
        <f>SUM(C3:C9)</f>
        <v/>
      </c>
      <c r="D10" s="18">
        <f>SUM(D3:D9)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2025-12-15T13:41:17Z</dcterms:created>
  <dcterms:modified xsi:type="dcterms:W3CDTF">2025-12-15T13:41:18Z</dcterms:modified>
</cp:coreProperties>
</file>
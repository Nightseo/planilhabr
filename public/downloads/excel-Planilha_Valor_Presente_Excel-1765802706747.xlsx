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álculo VP" sheetId="1" state="visible" r:id="rId1"/>
    <sheet name="Análise" sheetId="2" state="visible" r:id="rId2"/>
    <sheet name="Comparaçã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0.00&quot;%&quot;"/>
    <numFmt numFmtId="166" formatCode="0.0000"/>
    <numFmt numFmtId="167" formatCode="0.0&quot;%&quot;"/>
  </numFmts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sz val="11"/>
    </font>
    <font>
      <b val="1"/>
      <sz val="12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2" fontId="0" fillId="3" borderId="1" pivotButton="0" quotePrefix="0" xfId="0"/>
    <xf numFmtId="164" fontId="0" fillId="3" borderId="1" pivotButton="0" quotePrefix="0" xfId="0"/>
    <xf numFmtId="1" fontId="0" fillId="3" borderId="1" pivotButton="0" quotePrefix="0" xfId="0"/>
    <xf numFmtId="0" fontId="3" fillId="4" borderId="0" pivotButton="0" quotePrefix="0" xfId="0"/>
    <xf numFmtId="164" fontId="4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5" fillId="5" borderId="0" pivotButton="0" quotePrefix="0" xfId="0"/>
    <xf numFmtId="0" fontId="5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6" fillId="0" borderId="0" pivotButton="0" quotePrefix="0" xfId="0"/>
    <xf numFmtId="164" fontId="6" fillId="4" borderId="1" pivotButton="0" quotePrefix="0" xfId="0"/>
    <xf numFmtId="0" fontId="1" fillId="0" borderId="0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Presente vs Taxa de Desconto</a:t>
            </a:r>
          </a:p>
        </rich>
      </tx>
    </title>
    <plotArea>
      <lineChart>
        <grouping val="standard"/>
        <ser>
          <idx val="0"/>
          <order val="0"/>
          <tx>
            <strRef>
              <f>'Análise'!C4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'Análise'!$A$5:$A$15</f>
            </numRef>
          </cat>
          <val>
            <numRef>
              <f>'Análise'!$C$5:$C$15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Taxa de Desconto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de Valor Presente por Projeto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'Comparação'!E4</f>
            </strRef>
          </tx>
          <spPr>
            <a:ln>
              <a:prstDash val="solid"/>
            </a:ln>
          </spPr>
          <cat>
            <numRef>
              <f>'Comparação'!$A$5:$A$19</f>
            </numRef>
          </cat>
          <val>
            <numRef>
              <f>'Comparação'!$E$5:$E$19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Projetos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Presente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CALCULADORA DE VALOR PRESENTE (VP)</t>
        </is>
      </c>
    </row>
    <row r="3">
      <c r="A3" s="2" t="inlineStr">
        <is>
          <t>Parâmetros de Entrada</t>
        </is>
      </c>
    </row>
    <row r="4">
      <c r="A4" t="inlineStr">
        <is>
          <t>Taxa de Desconto (%)</t>
        </is>
      </c>
      <c r="B4" s="3" t="n">
        <v>8.5</v>
      </c>
    </row>
    <row r="5">
      <c r="A5" t="inlineStr">
        <is>
          <t>Valor Futuro (R$)</t>
        </is>
      </c>
      <c r="B5" s="4" t="n">
        <v>150000</v>
      </c>
    </row>
    <row r="6">
      <c r="A6" t="inlineStr">
        <is>
          <t>Período (anos)</t>
        </is>
      </c>
      <c r="B6" s="5" t="n">
        <v>5</v>
      </c>
    </row>
    <row r="8">
      <c r="A8" s="6" t="inlineStr">
        <is>
          <t>Resultado do Cálculo</t>
        </is>
      </c>
    </row>
    <row r="9">
      <c r="A9" t="inlineStr">
        <is>
          <t>Valor Presente (VP)</t>
        </is>
      </c>
      <c r="B9" s="7">
        <f>B5/((1+B4/100)^B6)</f>
        <v/>
      </c>
    </row>
    <row r="10">
      <c r="A10" t="inlineStr">
        <is>
          <t>Desconto Total</t>
        </is>
      </c>
      <c r="B10" s="8">
        <f>B5-B9</f>
        <v/>
      </c>
    </row>
    <row r="11">
      <c r="A11" t="inlineStr">
        <is>
          <t>Taxa Efetiva</t>
        </is>
      </c>
      <c r="B11" s="9">
        <f>((1+B4/100)^B6-1)*100</f>
        <v/>
      </c>
    </row>
    <row r="13">
      <c r="A13" s="10" t="inlineStr">
        <is>
          <t>Fluxo de Caixa Detalhado</t>
        </is>
      </c>
    </row>
    <row r="14">
      <c r="A14" s="11" t="inlineStr">
        <is>
          <t>Ano</t>
        </is>
      </c>
      <c r="B14" s="11" t="inlineStr">
        <is>
          <t>Valor Futuro</t>
        </is>
      </c>
      <c r="C14" s="11" t="inlineStr">
        <is>
          <t>Fator Desconto</t>
        </is>
      </c>
      <c r="D14" s="11" t="inlineStr">
        <is>
          <t>Valor Presente</t>
        </is>
      </c>
    </row>
    <row r="15">
      <c r="A15" s="12" t="n">
        <v>1</v>
      </c>
      <c r="B15" s="13">
        <f>B$5</f>
        <v/>
      </c>
      <c r="C15" s="14">
        <f>1/((1+B$4/100)^A15)</f>
        <v/>
      </c>
      <c r="D15" s="13">
        <f>B15*C15</f>
        <v/>
      </c>
    </row>
    <row r="16">
      <c r="A16" s="12" t="n">
        <v>2</v>
      </c>
      <c r="B16" s="13">
        <f>B$5</f>
        <v/>
      </c>
      <c r="C16" s="14">
        <f>1/((1+B$4/100)^A16)</f>
        <v/>
      </c>
      <c r="D16" s="13">
        <f>B16*C16</f>
        <v/>
      </c>
    </row>
    <row r="17">
      <c r="A17" s="12" t="n">
        <v>3</v>
      </c>
      <c r="B17" s="13">
        <f>B$5</f>
        <v/>
      </c>
      <c r="C17" s="14">
        <f>1/((1+B$4/100)^A17)</f>
        <v/>
      </c>
      <c r="D17" s="13">
        <f>B17*C17</f>
        <v/>
      </c>
    </row>
    <row r="18">
      <c r="A18" s="12" t="n">
        <v>4</v>
      </c>
      <c r="B18" s="13">
        <f>B$5</f>
        <v/>
      </c>
      <c r="C18" s="14">
        <f>1/((1+B$4/100)^A18)</f>
        <v/>
      </c>
      <c r="D18" s="13">
        <f>B18*C18</f>
        <v/>
      </c>
    </row>
    <row r="19">
      <c r="A19" s="12" t="n">
        <v>5</v>
      </c>
      <c r="B19" s="13">
        <f>B$5</f>
        <v/>
      </c>
      <c r="C19" s="14">
        <f>1/((1+B$4/100)^A19)</f>
        <v/>
      </c>
      <c r="D19" s="13">
        <f>B19*C19</f>
        <v/>
      </c>
    </row>
    <row r="20">
      <c r="A20" s="15" t="inlineStr">
        <is>
          <t>Total VP</t>
        </is>
      </c>
      <c r="D20" s="16">
        <f>SUM(D15:D19)</f>
        <v/>
      </c>
    </row>
  </sheetData>
  <mergeCells count="4">
    <mergeCell ref="A1:D1"/>
    <mergeCell ref="A8:B8"/>
    <mergeCell ref="A3:B3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>
      <c r="A1" s="17" t="inlineStr">
        <is>
          <t>ANÁLISE DE SENSIBILIDADE - VALOR PRESENTE</t>
        </is>
      </c>
    </row>
    <row r="3">
      <c r="A3" s="2" t="inlineStr">
        <is>
          <t>Variação por Taxa de Desconto</t>
        </is>
      </c>
    </row>
    <row r="4">
      <c r="A4" s="11" t="inlineStr">
        <is>
          <t>Taxa (%)</t>
        </is>
      </c>
      <c r="B4" s="11" t="inlineStr">
        <is>
          <t>Valor Futuro</t>
        </is>
      </c>
      <c r="C4" s="11" t="inlineStr">
        <is>
          <t>Valor Presente</t>
        </is>
      </c>
      <c r="D4" s="11" t="inlineStr">
        <is>
          <t>Diferença</t>
        </is>
      </c>
    </row>
    <row r="5">
      <c r="A5" s="18" t="n">
        <v>4</v>
      </c>
      <c r="B5" s="13" t="n">
        <v>150000</v>
      </c>
      <c r="C5" s="13" t="n">
        <v>123289.0660139028</v>
      </c>
      <c r="D5" s="13" t="n">
        <v>26710.93398609724</v>
      </c>
    </row>
    <row r="6">
      <c r="A6" s="18" t="n">
        <v>5.5</v>
      </c>
      <c r="B6" s="13" t="n">
        <v>150000</v>
      </c>
      <c r="C6" s="13" t="n">
        <v>114770.1530761424</v>
      </c>
      <c r="D6" s="13" t="n">
        <v>35229.84692385759</v>
      </c>
    </row>
    <row r="7">
      <c r="A7" s="18" t="n">
        <v>7</v>
      </c>
      <c r="B7" s="13" t="n">
        <v>150000</v>
      </c>
      <c r="C7" s="13" t="n">
        <v>106947.9269225502</v>
      </c>
      <c r="D7" s="13" t="n">
        <v>43052.07307744976</v>
      </c>
    </row>
    <row r="8">
      <c r="A8" s="18" t="n">
        <v>8.5</v>
      </c>
      <c r="B8" s="13" t="n">
        <v>150000</v>
      </c>
      <c r="C8" s="13" t="n">
        <v>99756.81349326544</v>
      </c>
      <c r="D8" s="13" t="n">
        <v>50243.18650673456</v>
      </c>
    </row>
    <row r="9">
      <c r="A9" s="18" t="n">
        <v>10</v>
      </c>
      <c r="B9" s="13" t="n">
        <v>150000</v>
      </c>
      <c r="C9" s="13" t="n">
        <v>93138.19845887324</v>
      </c>
      <c r="D9" s="13" t="n">
        <v>56861.80154112676</v>
      </c>
    </row>
    <row r="10">
      <c r="A10" s="18" t="n">
        <v>12</v>
      </c>
      <c r="B10" s="13" t="n">
        <v>150000</v>
      </c>
      <c r="C10" s="13" t="n">
        <v>85114.02835778988</v>
      </c>
      <c r="D10" s="13" t="n">
        <v>64885.97164221012</v>
      </c>
    </row>
    <row r="11">
      <c r="A11" s="18" t="n">
        <v>15</v>
      </c>
      <c r="B11" s="13" t="n">
        <v>150000</v>
      </c>
      <c r="C11" s="13" t="n">
        <v>74576.51029474348</v>
      </c>
      <c r="D11" s="13" t="n">
        <v>75423.48970525652</v>
      </c>
    </row>
    <row r="12">
      <c r="A12" s="18" t="n">
        <v>18</v>
      </c>
      <c r="B12" s="13" t="n">
        <v>150000</v>
      </c>
      <c r="C12" s="13" t="n">
        <v>65566.38243456879</v>
      </c>
      <c r="D12" s="13" t="n">
        <v>84433.61756543121</v>
      </c>
    </row>
    <row r="13">
      <c r="A13" s="18" t="n">
        <v>20</v>
      </c>
      <c r="B13" s="13" t="n">
        <v>150000</v>
      </c>
      <c r="C13" s="13" t="n">
        <v>60281.63580246915</v>
      </c>
      <c r="D13" s="13" t="n">
        <v>89718.36419753084</v>
      </c>
    </row>
    <row r="14">
      <c r="A14" s="18" t="n">
        <v>22.5</v>
      </c>
      <c r="B14" s="13" t="n">
        <v>150000</v>
      </c>
      <c r="C14" s="13" t="n">
        <v>54376.44556249243</v>
      </c>
      <c r="D14" s="13" t="n">
        <v>95623.55443750757</v>
      </c>
    </row>
    <row r="15">
      <c r="A15" s="18" t="n">
        <v>25</v>
      </c>
      <c r="B15" s="13" t="n">
        <v>150000</v>
      </c>
      <c r="C15" s="13" t="n">
        <v>49152</v>
      </c>
      <c r="D15" s="13" t="n">
        <v>100848</v>
      </c>
    </row>
    <row r="18">
      <c r="A18" s="2" t="inlineStr">
        <is>
          <t>Variação por Período</t>
        </is>
      </c>
    </row>
    <row r="19">
      <c r="A19" s="11" t="inlineStr">
        <is>
          <t>Período (anos)</t>
        </is>
      </c>
      <c r="B19" s="11" t="inlineStr">
        <is>
          <t>Valor Futuro</t>
        </is>
      </c>
      <c r="C19" s="11" t="inlineStr">
        <is>
          <t>Valor Presente</t>
        </is>
      </c>
      <c r="D19" s="11" t="inlineStr">
        <is>
          <t>Fator Desconto</t>
        </is>
      </c>
    </row>
    <row r="20">
      <c r="A20" s="19" t="n">
        <v>1</v>
      </c>
      <c r="B20" s="13" t="n">
        <v>150000</v>
      </c>
      <c r="C20" s="13" t="n">
        <v>138248.8479262673</v>
      </c>
      <c r="D20" s="14" t="n">
        <v>0.9216589861751152</v>
      </c>
    </row>
    <row r="21">
      <c r="A21" s="19" t="n">
        <v>2</v>
      </c>
      <c r="B21" s="13" t="n">
        <v>150000</v>
      </c>
      <c r="C21" s="13" t="n">
        <v>127418.2930196012</v>
      </c>
      <c r="D21" s="14" t="n">
        <v>0.8494552867973413</v>
      </c>
    </row>
    <row r="22">
      <c r="A22" s="19" t="n">
        <v>3</v>
      </c>
      <c r="B22" s="13" t="n">
        <v>150000</v>
      </c>
      <c r="C22" s="13" t="n">
        <v>117436.2147646094</v>
      </c>
      <c r="D22" s="14" t="n">
        <v>0.7829080984307294</v>
      </c>
    </row>
    <row r="23">
      <c r="A23" s="19" t="n">
        <v>4</v>
      </c>
      <c r="B23" s="13" t="n">
        <v>150000</v>
      </c>
      <c r="C23" s="13" t="n">
        <v>108236.142640193</v>
      </c>
      <c r="D23" s="14" t="n">
        <v>0.7215742842679533</v>
      </c>
    </row>
    <row r="24">
      <c r="A24" s="19" t="n">
        <v>5</v>
      </c>
      <c r="B24" s="13" t="n">
        <v>150000</v>
      </c>
      <c r="C24" s="13" t="n">
        <v>99756.81349326544</v>
      </c>
      <c r="D24" s="14" t="n">
        <v>0.6650454232884362</v>
      </c>
    </row>
    <row r="25">
      <c r="A25" s="19" t="n">
        <v>6</v>
      </c>
      <c r="B25" s="13" t="n">
        <v>150000</v>
      </c>
      <c r="C25" s="13" t="n">
        <v>91941.76358826307</v>
      </c>
      <c r="D25" s="14" t="n">
        <v>0.6129450905884205</v>
      </c>
    </row>
    <row r="26">
      <c r="A26" s="19" t="n">
        <v>7</v>
      </c>
      <c r="B26" s="13" t="n">
        <v>150000</v>
      </c>
      <c r="C26" s="13" t="n">
        <v>84738.95261591068</v>
      </c>
      <c r="D26" s="14" t="n">
        <v>0.5649263507727378</v>
      </c>
    </row>
    <row r="27">
      <c r="A27" s="19" t="n">
        <v>8</v>
      </c>
      <c r="B27" s="13" t="n">
        <v>150000</v>
      </c>
      <c r="C27" s="13" t="n">
        <v>78100.41715752135</v>
      </c>
      <c r="D27" s="14" t="n">
        <v>0.520669447716809</v>
      </c>
    </row>
    <row r="28">
      <c r="A28" s="19" t="n">
        <v>9</v>
      </c>
      <c r="B28" s="13" t="n">
        <v>150000</v>
      </c>
      <c r="C28" s="13" t="n">
        <v>71981.95129725471</v>
      </c>
      <c r="D28" s="14" t="n">
        <v>0.4798796753150314</v>
      </c>
    </row>
    <row r="29">
      <c r="A29" s="19" t="n">
        <v>10</v>
      </c>
      <c r="B29" s="13" t="n">
        <v>150000</v>
      </c>
      <c r="C29" s="13" t="n">
        <v>66342.8122555343</v>
      </c>
      <c r="D29" s="14" t="n">
        <v>0.4422854150368954</v>
      </c>
    </row>
    <row r="30">
      <c r="A30" s="19" t="n">
        <v>12</v>
      </c>
      <c r="B30" s="13" t="n">
        <v>150000</v>
      </c>
      <c r="C30" s="13" t="n">
        <v>56355.25261146705</v>
      </c>
      <c r="D30" s="14" t="n">
        <v>0.3757016840764471</v>
      </c>
    </row>
    <row r="31">
      <c r="A31" s="19" t="n">
        <v>15</v>
      </c>
      <c r="B31" s="13" t="n">
        <v>150000</v>
      </c>
      <c r="C31" s="13" t="n">
        <v>44120.98365862706</v>
      </c>
      <c r="D31" s="14" t="n">
        <v>0.2941398910575138</v>
      </c>
    </row>
  </sheetData>
  <mergeCells count="3">
    <mergeCell ref="A1:D1"/>
    <mergeCell ref="A18:D18"/>
    <mergeCell ref="A3:D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7" t="inlineStr">
        <is>
          <t>COMPARAÇÃO DE INVESTIMENTOS</t>
        </is>
      </c>
    </row>
    <row r="3">
      <c r="A3" s="2" t="inlineStr">
        <is>
          <t>Análise de Múltiplos Projetos</t>
        </is>
      </c>
    </row>
    <row r="4">
      <c r="A4" s="11" t="inlineStr">
        <is>
          <t>Projeto</t>
        </is>
      </c>
      <c r="B4" s="11" t="inlineStr">
        <is>
          <t>VF (R$)</t>
        </is>
      </c>
      <c r="C4" s="11" t="inlineStr">
        <is>
          <t>Taxa (%)</t>
        </is>
      </c>
      <c r="D4" s="11" t="inlineStr">
        <is>
          <t>Período</t>
        </is>
      </c>
      <c r="E4" s="11" t="inlineStr">
        <is>
          <t>VP (R$)</t>
        </is>
      </c>
    </row>
    <row r="5">
      <c r="A5" s="20" t="inlineStr">
        <is>
          <t>Projeto Alpha GmbH</t>
        </is>
      </c>
      <c r="B5" s="13" t="n">
        <v>180000</v>
      </c>
      <c r="C5" s="18" t="n">
        <v>7.5</v>
      </c>
      <c r="D5" s="19" t="n">
        <v>4</v>
      </c>
      <c r="E5" s="13" t="n">
        <v>134784.0953597475</v>
      </c>
    </row>
    <row r="6">
      <c r="A6" s="20" t="inlineStr">
        <is>
          <t>Projeto Beta AG</t>
        </is>
      </c>
      <c r="B6" s="13" t="n">
        <v>220000</v>
      </c>
      <c r="C6" s="18" t="n">
        <v>9</v>
      </c>
      <c r="D6" s="19" t="n">
        <v>5</v>
      </c>
      <c r="E6" s="13" t="n">
        <v>142984.9049856359</v>
      </c>
    </row>
    <row r="7">
      <c r="A7" s="20" t="inlineStr">
        <is>
          <t>Projeto Gamma KG</t>
        </is>
      </c>
      <c r="B7" s="13" t="n">
        <v>165000</v>
      </c>
      <c r="C7" s="18" t="n">
        <v>6.5</v>
      </c>
      <c r="D7" s="19" t="n">
        <v>3</v>
      </c>
      <c r="E7" s="13" t="n">
        <v>136595.1001474917</v>
      </c>
    </row>
    <row r="8">
      <c r="A8" s="20" t="inlineStr">
        <is>
          <t>Projeto Delta GmbH</t>
        </is>
      </c>
      <c r="B8" s="13" t="n">
        <v>195000</v>
      </c>
      <c r="C8" s="18" t="n">
        <v>8</v>
      </c>
      <c r="D8" s="19" t="n">
        <v>4</v>
      </c>
      <c r="E8" s="13" t="n">
        <v>143330.8212953084</v>
      </c>
    </row>
    <row r="9">
      <c r="A9" s="20" t="inlineStr">
        <is>
          <t>Projeto Epsilon AG</t>
        </is>
      </c>
      <c r="B9" s="13" t="n">
        <v>240000</v>
      </c>
      <c r="C9" s="18" t="n">
        <v>10.5</v>
      </c>
      <c r="D9" s="19" t="n">
        <v>6</v>
      </c>
      <c r="E9" s="13" t="n">
        <v>131837.0794286256</v>
      </c>
    </row>
    <row r="10">
      <c r="A10" s="20" t="inlineStr">
        <is>
          <t>Projeto Zeta GmbH</t>
        </is>
      </c>
      <c r="B10" s="13" t="n">
        <v>155000</v>
      </c>
      <c r="C10" s="18" t="n">
        <v>7</v>
      </c>
      <c r="D10" s="19" t="n">
        <v>3</v>
      </c>
      <c r="E10" s="13" t="n">
        <v>126526.170918082</v>
      </c>
    </row>
    <row r="11">
      <c r="A11" s="20" t="inlineStr">
        <is>
          <t>Projeto Eta KG</t>
        </is>
      </c>
      <c r="B11" s="13" t="n">
        <v>210000</v>
      </c>
      <c r="C11" s="18" t="n">
        <v>8.5</v>
      </c>
      <c r="D11" s="19" t="n">
        <v>5</v>
      </c>
      <c r="E11" s="13" t="n">
        <v>139659.5388905716</v>
      </c>
    </row>
    <row r="12">
      <c r="A12" s="20" t="inlineStr">
        <is>
          <t>Projeto Theta AG</t>
        </is>
      </c>
      <c r="B12" s="13" t="n">
        <v>175000</v>
      </c>
      <c r="C12" s="18" t="n">
        <v>7.5</v>
      </c>
      <c r="D12" s="19" t="n">
        <v>4</v>
      </c>
      <c r="E12" s="13" t="n">
        <v>131040.0927108656</v>
      </c>
    </row>
    <row r="13">
      <c r="A13" s="20" t="inlineStr">
        <is>
          <t>Projeto Iota GmbH</t>
        </is>
      </c>
      <c r="B13" s="13" t="n">
        <v>190000</v>
      </c>
      <c r="C13" s="18" t="n">
        <v>9.5</v>
      </c>
      <c r="D13" s="19" t="n">
        <v>5</v>
      </c>
      <c r="E13" s="13" t="n">
        <v>120693.2564035537</v>
      </c>
    </row>
    <row r="14">
      <c r="A14" s="20" t="inlineStr">
        <is>
          <t>Projeto Kappa AG</t>
        </is>
      </c>
      <c r="B14" s="13" t="n">
        <v>160000</v>
      </c>
      <c r="C14" s="18" t="n">
        <v>6</v>
      </c>
      <c r="D14" s="19" t="n">
        <v>3</v>
      </c>
      <c r="E14" s="13" t="n">
        <v>134339.0852851683</v>
      </c>
    </row>
    <row r="15">
      <c r="A15" s="20" t="inlineStr">
        <is>
          <t>Projeto Lambda GmbH</t>
        </is>
      </c>
      <c r="B15" s="13" t="n">
        <v>225000</v>
      </c>
      <c r="C15" s="18" t="n">
        <v>11</v>
      </c>
      <c r="D15" s="19" t="n">
        <v>6</v>
      </c>
      <c r="E15" s="13" t="n">
        <v>120294.1881199781</v>
      </c>
    </row>
    <row r="16">
      <c r="A16" s="20" t="inlineStr">
        <is>
          <t>Projeto Mu KG</t>
        </is>
      </c>
      <c r="B16" s="13" t="n">
        <v>185000</v>
      </c>
      <c r="C16" s="18" t="n">
        <v>8</v>
      </c>
      <c r="D16" s="19" t="n">
        <v>4</v>
      </c>
      <c r="E16" s="13" t="n">
        <v>135980.5227673438</v>
      </c>
    </row>
    <row r="17">
      <c r="A17" s="20" t="inlineStr">
        <is>
          <t>Projeto Nu AG</t>
        </is>
      </c>
      <c r="B17" s="13" t="n">
        <v>200000</v>
      </c>
      <c r="C17" s="18" t="n">
        <v>9</v>
      </c>
      <c r="D17" s="19" t="n">
        <v>5</v>
      </c>
      <c r="E17" s="13" t="n">
        <v>129986.2772596691</v>
      </c>
    </row>
    <row r="18">
      <c r="A18" s="20" t="inlineStr">
        <is>
          <t>Projeto Xi GmbH</t>
        </is>
      </c>
      <c r="B18" s="13" t="n">
        <v>170000</v>
      </c>
      <c r="C18" s="18" t="n">
        <v>7</v>
      </c>
      <c r="D18" s="19" t="n">
        <v>3</v>
      </c>
      <c r="E18" s="13" t="n">
        <v>138770.6390714448</v>
      </c>
    </row>
    <row r="19">
      <c r="A19" s="20" t="inlineStr">
        <is>
          <t>Projeto Omicron AG</t>
        </is>
      </c>
      <c r="B19" s="13" t="n">
        <v>215000</v>
      </c>
      <c r="C19" s="18" t="n">
        <v>10</v>
      </c>
      <c r="D19" s="19" t="n">
        <v>5</v>
      </c>
      <c r="E19" s="13" t="n">
        <v>133498.0844577183</v>
      </c>
    </row>
    <row r="21">
      <c r="A21" s="21" t="inlineStr">
        <is>
          <t>Estatísticas</t>
        </is>
      </c>
    </row>
    <row r="22">
      <c r="A22" t="inlineStr">
        <is>
          <t>VP Médio</t>
        </is>
      </c>
      <c r="B22" s="8">
        <f>AVERAGE(E5:E19)</f>
        <v/>
      </c>
    </row>
    <row r="23">
      <c r="A23" t="inlineStr">
        <is>
          <t>VP Máximo</t>
        </is>
      </c>
      <c r="B23" s="8">
        <f>MAX(E5:E19)</f>
        <v/>
      </c>
    </row>
    <row r="24">
      <c r="A24" t="inlineStr">
        <is>
          <t>VP Mínimo</t>
        </is>
      </c>
      <c r="B24" s="8">
        <f>MIN(E5:E19)</f>
        <v/>
      </c>
    </row>
  </sheetData>
  <mergeCells count="3">
    <mergeCell ref="A21:B21"/>
    <mergeCell ref="A1:E1"/>
    <mergeCell ref="A3:E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2025-12-15T12:48:59Z</dcterms:created>
  <dcterms:modified xsi:type="dcterms:W3CDTF">2025-12-15T12:48:59Z</dcterms:modified>
</cp:coreProperties>
</file>
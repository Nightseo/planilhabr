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os Candidatos" sheetId="1" state="visible" r:id="rId1"/>
    <sheet name="Estatísticas" sheetId="2" state="visible" r:id="rId2"/>
    <sheet name="Análise por Cargo" sheetId="3" state="visible" r:id="rId3"/>
  </sheets>
  <definedNames>
    <definedName name="_xlnm._FilterDatabase" localSheetId="0" hidden="1">'Dados dos Candidatos'!$A$2:$H$22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por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'Estatísticas'!$A$5:$A$7</f>
            </numRef>
          </cat>
          <val>
            <numRef>
              <f>'Estatísticas'!$B$4:$B$7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Média Final por Cargo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por Cargo'!E2</f>
            </strRef>
          </tx>
          <spPr>
            <a:ln>
              <a:prstDash val="solid"/>
            </a:ln>
          </spPr>
          <cat>
            <numRef>
              <f>'Análise por Cargo'!$A$3:$A$10</f>
            </numRef>
          </cat>
          <val>
            <numRef>
              <f>'Análise por Cargo'!$E$3:$E$10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Cargo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Média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6" customWidth="1" min="4" max="4"/>
    <col width="20" customWidth="1" min="5" max="5"/>
    <col width="25" customWidth="1" min="6" max="6"/>
    <col width="14" customWidth="1" min="7" max="7"/>
    <col width="14" customWidth="1" min="8" max="8"/>
  </cols>
  <sheetData>
    <row r="1" ht="25" customHeight="1">
      <c r="A1" s="1" t="inlineStr">
        <is>
          <t>PLANILHA DE AVALIAÇÃO DE CANDIDATOS - ENTREVISTA</t>
        </is>
      </c>
    </row>
    <row r="2">
      <c r="A2" s="2" t="inlineStr">
        <is>
          <t>ID</t>
        </is>
      </c>
      <c r="B2" s="2" t="inlineStr">
        <is>
          <t>Nome do Candidato</t>
        </is>
      </c>
      <c r="C2" s="2" t="inlineStr">
        <is>
          <t>Cargo Pretendido</t>
        </is>
      </c>
      <c r="D2" s="2" t="inlineStr">
        <is>
          <t>Data Entrevista</t>
        </is>
      </c>
      <c r="E2" s="2" t="inlineStr">
        <is>
          <t>Nota Técnica (0-10)</t>
        </is>
      </c>
      <c r="F2" s="2" t="inlineStr">
        <is>
          <t>Nota Comportamental (0-10)</t>
        </is>
      </c>
      <c r="G2" s="2" t="inlineStr">
        <is>
          <t>Média Final</t>
        </is>
      </c>
      <c r="H2" s="2" t="inlineStr">
        <is>
          <t>Status</t>
        </is>
      </c>
    </row>
    <row r="3">
      <c r="A3" s="3" t="n">
        <v>1</v>
      </c>
      <c r="B3" s="4" t="inlineStr">
        <is>
          <t>Silva, João Pedro</t>
        </is>
      </c>
      <c r="C3" s="4" t="inlineStr">
        <is>
          <t>Designer Gráfico</t>
        </is>
      </c>
      <c r="D3" s="5" t="n">
        <v>45648</v>
      </c>
      <c r="E3" s="6" t="n">
        <v>8.699999999999999</v>
      </c>
      <c r="F3" s="6" t="n">
        <v>9.6</v>
      </c>
      <c r="G3" s="6">
        <f>(E3+F3)/2</f>
        <v/>
      </c>
      <c r="H3" s="3">
        <f>SE(G3&gt;=7;"Aprovado";SE(G3&gt;=5;"Em Análise";"Reprovado"))</f>
        <v/>
      </c>
    </row>
    <row r="4">
      <c r="A4" s="3" t="n">
        <v>2</v>
      </c>
      <c r="B4" s="4" t="inlineStr">
        <is>
          <t>Santos, Maria Clara</t>
        </is>
      </c>
      <c r="C4" s="4" t="inlineStr">
        <is>
          <t>Engenheiro de Dados</t>
        </is>
      </c>
      <c r="D4" s="5" t="n">
        <v>45629</v>
      </c>
      <c r="E4" s="6" t="n">
        <v>9.9</v>
      </c>
      <c r="F4" s="6" t="n">
        <v>7.8</v>
      </c>
      <c r="G4" s="6">
        <f>(E4+F4)/2</f>
        <v/>
      </c>
      <c r="H4" s="3">
        <f>SE(G4&gt;=7;"Aprovado";SE(G4&gt;=5;"Em Análise";"Reprovado"))</f>
        <v/>
      </c>
    </row>
    <row r="5">
      <c r="A5" s="3" t="n">
        <v>3</v>
      </c>
      <c r="B5" s="4" t="inlineStr">
        <is>
          <t>Oliveira, Carlos Eduardo</t>
        </is>
      </c>
      <c r="C5" s="4" t="inlineStr">
        <is>
          <t>Supervisor de Produção</t>
        </is>
      </c>
      <c r="D5" s="5" t="n">
        <v>45636</v>
      </c>
      <c r="E5" s="6" t="n">
        <v>6.6</v>
      </c>
      <c r="F5" s="6" t="n">
        <v>6.3</v>
      </c>
      <c r="G5" s="6">
        <f>(E5+F5)/2</f>
        <v/>
      </c>
      <c r="H5" s="3">
        <f>SE(G5&gt;=7;"Aprovado";SE(G5&gt;=5;"Em Análise";"Reprovado"))</f>
        <v/>
      </c>
    </row>
    <row r="6">
      <c r="A6" s="3" t="n">
        <v>4</v>
      </c>
      <c r="B6" s="4" t="inlineStr">
        <is>
          <t>Souza, Ana Paula</t>
        </is>
      </c>
      <c r="C6" s="4" t="inlineStr">
        <is>
          <t>Analista de BI</t>
        </is>
      </c>
      <c r="D6" s="5" t="n">
        <v>45646</v>
      </c>
      <c r="E6" s="6" t="n">
        <v>6.4</v>
      </c>
      <c r="F6" s="6" t="n">
        <v>6.6</v>
      </c>
      <c r="G6" s="6">
        <f>(E6+F6)/2</f>
        <v/>
      </c>
      <c r="H6" s="3">
        <f>SE(G6&gt;=7;"Aprovado";SE(G6&gt;=5;"Em Análise";"Reprovado"))</f>
        <v/>
      </c>
    </row>
    <row r="7">
      <c r="A7" s="3" t="n">
        <v>5</v>
      </c>
      <c r="B7" s="4" t="inlineStr">
        <is>
          <t>Costa, Ricardo Luiz</t>
        </is>
      </c>
      <c r="C7" s="4" t="inlineStr">
        <is>
          <t>Coordenador de RH</t>
        </is>
      </c>
      <c r="D7" s="5" t="n">
        <v>45654</v>
      </c>
      <c r="E7" s="6" t="n">
        <v>8.199999999999999</v>
      </c>
      <c r="F7" s="6" t="n">
        <v>7.1</v>
      </c>
      <c r="G7" s="6">
        <f>(E7+F7)/2</f>
        <v/>
      </c>
      <c r="H7" s="3">
        <f>SE(G7&gt;=7;"Aprovado";SE(G7&gt;=5;"Em Análise";"Reprovado"))</f>
        <v/>
      </c>
    </row>
    <row r="8">
      <c r="A8" s="3" t="n">
        <v>6</v>
      </c>
      <c r="B8" s="4" t="inlineStr">
        <is>
          <t>Ferreira, Juliana Alves</t>
        </is>
      </c>
      <c r="C8" s="4" t="inlineStr">
        <is>
          <t>Supervisor de Produção</t>
        </is>
      </c>
      <c r="D8" s="5" t="n">
        <v>45629</v>
      </c>
      <c r="E8" s="6" t="n">
        <v>6.8</v>
      </c>
      <c r="F8" s="6" t="n">
        <v>9</v>
      </c>
      <c r="G8" s="6">
        <f>(E8+F8)/2</f>
        <v/>
      </c>
      <c r="H8" s="3">
        <f>SE(G8&gt;=7;"Aprovado";SE(G8&gt;=5;"Em Análise";"Reprovado"))</f>
        <v/>
      </c>
    </row>
    <row r="9">
      <c r="A9" s="3" t="n">
        <v>7</v>
      </c>
      <c r="B9" s="4" t="inlineStr">
        <is>
          <t>Rodrigues, Pedro Henrique</t>
        </is>
      </c>
      <c r="C9" s="4" t="inlineStr">
        <is>
          <t>Contador Senior</t>
        </is>
      </c>
      <c r="D9" s="5" t="n">
        <v>45655</v>
      </c>
      <c r="E9" s="6" t="n">
        <v>5.6</v>
      </c>
      <c r="F9" s="6" t="n">
        <v>7.8</v>
      </c>
      <c r="G9" s="6">
        <f>(E9+F9)/2</f>
        <v/>
      </c>
      <c r="H9" s="3">
        <f>SE(G9&gt;=7;"Aprovado";SE(G9&gt;=5;"Em Análise";"Reprovado"))</f>
        <v/>
      </c>
    </row>
    <row r="10">
      <c r="A10" s="3" t="n">
        <v>8</v>
      </c>
      <c r="B10" s="4" t="inlineStr">
        <is>
          <t>Almeida, Fernanda Costa</t>
        </is>
      </c>
      <c r="C10" s="4" t="inlineStr">
        <is>
          <t>Consultor de Vendas</t>
        </is>
      </c>
      <c r="D10" s="5" t="n">
        <v>45613</v>
      </c>
      <c r="E10" s="6" t="n">
        <v>7.5</v>
      </c>
      <c r="F10" s="6" t="n">
        <v>8.699999999999999</v>
      </c>
      <c r="G10" s="6">
        <f>(E10+F10)/2</f>
        <v/>
      </c>
      <c r="H10" s="3">
        <f>SE(G10&gt;=7;"Aprovado";SE(G10&gt;=5;"Em Análise";"Reprovado"))</f>
        <v/>
      </c>
    </row>
    <row r="11">
      <c r="A11" s="3" t="n">
        <v>9</v>
      </c>
      <c r="B11" s="4" t="inlineStr">
        <is>
          <t>Lima, Bruno Cardoso</t>
        </is>
      </c>
      <c r="C11" s="4" t="inlineStr">
        <is>
          <t>Analista de Sistemas</t>
        </is>
      </c>
      <c r="D11" s="5" t="n">
        <v>45642</v>
      </c>
      <c r="E11" s="6" t="n">
        <v>6.6</v>
      </c>
      <c r="F11" s="6" t="n">
        <v>7.1</v>
      </c>
      <c r="G11" s="6">
        <f>(E11+F11)/2</f>
        <v/>
      </c>
      <c r="H11" s="3">
        <f>SE(G11&gt;=7;"Aprovado";SE(G11&gt;=5;"Em Análise";"Reprovado"))</f>
        <v/>
      </c>
    </row>
    <row r="12">
      <c r="A12" s="3" t="n">
        <v>10</v>
      </c>
      <c r="B12" s="4" t="inlineStr">
        <is>
          <t>Pereira, Camila Santos</t>
        </is>
      </c>
      <c r="C12" s="4" t="inlineStr">
        <is>
          <t>Designer Gráfico</t>
        </is>
      </c>
      <c r="D12" s="5" t="n">
        <v>45614</v>
      </c>
      <c r="E12" s="6" t="n">
        <v>7.3</v>
      </c>
      <c r="F12" s="6" t="n">
        <v>8.300000000000001</v>
      </c>
      <c r="G12" s="6">
        <f>(E12+F12)/2</f>
        <v/>
      </c>
      <c r="H12" s="3">
        <f>SE(G12&gt;=7;"Aprovado";SE(G12&gt;=5;"Em Análise";"Reprovado"))</f>
        <v/>
      </c>
    </row>
    <row r="13">
      <c r="A13" s="3" t="n">
        <v>11</v>
      </c>
      <c r="B13" s="4" t="inlineStr">
        <is>
          <t>Gomes, Rafael Augusto</t>
        </is>
      </c>
      <c r="C13" s="4" t="inlineStr">
        <is>
          <t>Coordenador de RH</t>
        </is>
      </c>
      <c r="D13" s="5" t="n">
        <v>45615</v>
      </c>
      <c r="E13" s="6" t="n">
        <v>7.7</v>
      </c>
      <c r="F13" s="6" t="n">
        <v>8.300000000000001</v>
      </c>
      <c r="G13" s="6">
        <f>(E13+F13)/2</f>
        <v/>
      </c>
      <c r="H13" s="3">
        <f>SE(G13&gt;=7;"Aprovado";SE(G13&gt;=5;"Em Análise";"Reprovado"))</f>
        <v/>
      </c>
    </row>
    <row r="14">
      <c r="A14" s="3" t="n">
        <v>12</v>
      </c>
      <c r="B14" s="4" t="inlineStr">
        <is>
          <t>Martins, Beatriz Souza</t>
        </is>
      </c>
      <c r="C14" s="4" t="inlineStr">
        <is>
          <t>Analista de BI</t>
        </is>
      </c>
      <c r="D14" s="5" t="n">
        <v>45642</v>
      </c>
      <c r="E14" s="6" t="n">
        <v>5.9</v>
      </c>
      <c r="F14" s="6" t="n">
        <v>7.3</v>
      </c>
      <c r="G14" s="6">
        <f>(E14+F14)/2</f>
        <v/>
      </c>
      <c r="H14" s="3">
        <f>SE(G14&gt;=7;"Aprovado";SE(G14&gt;=5;"Em Análise";"Reprovado"))</f>
        <v/>
      </c>
    </row>
    <row r="15">
      <c r="A15" s="3" t="n">
        <v>13</v>
      </c>
      <c r="B15" s="4" t="inlineStr">
        <is>
          <t>Ribeiro, Lucas Gabriel</t>
        </is>
      </c>
      <c r="C15" s="4" t="inlineStr">
        <is>
          <t>Contador Senior</t>
        </is>
      </c>
      <c r="D15" s="5" t="n">
        <v>45620</v>
      </c>
      <c r="E15" s="6" t="n">
        <v>5.6</v>
      </c>
      <c r="F15" s="6" t="n">
        <v>6.2</v>
      </c>
      <c r="G15" s="6">
        <f>(E15+F15)/2</f>
        <v/>
      </c>
      <c r="H15" s="3">
        <f>SE(G15&gt;=7;"Aprovado";SE(G15&gt;=5;"Em Análise";"Reprovado"))</f>
        <v/>
      </c>
    </row>
    <row r="16">
      <c r="A16" s="3" t="n">
        <v>14</v>
      </c>
      <c r="B16" s="4" t="inlineStr">
        <is>
          <t>Carvalho, Mariana Lima</t>
        </is>
      </c>
      <c r="C16" s="4" t="inlineStr">
        <is>
          <t>Engenheiro de Dados</t>
        </is>
      </c>
      <c r="D16" s="5" t="n">
        <v>45616</v>
      </c>
      <c r="E16" s="6" t="n">
        <v>6</v>
      </c>
      <c r="F16" s="6" t="n">
        <v>7.8</v>
      </c>
      <c r="G16" s="6">
        <f>(E16+F16)/2</f>
        <v/>
      </c>
      <c r="H16" s="3">
        <f>SE(G16&gt;=7;"Aprovado";SE(G16&gt;=5;"Em Análise";"Reprovado"))</f>
        <v/>
      </c>
    </row>
    <row r="17">
      <c r="A17" s="3" t="n">
        <v>15</v>
      </c>
      <c r="B17" s="4" t="inlineStr">
        <is>
          <t>Araújo, Felipe Torres</t>
        </is>
      </c>
      <c r="C17" s="4" t="inlineStr">
        <is>
          <t>Engenheiro de Dados</t>
        </is>
      </c>
      <c r="D17" s="5" t="n">
        <v>45629</v>
      </c>
      <c r="E17" s="6" t="n">
        <v>8.9</v>
      </c>
      <c r="F17" s="6" t="n">
        <v>8.9</v>
      </c>
      <c r="G17" s="6">
        <f>(E17+F17)/2</f>
        <v/>
      </c>
      <c r="H17" s="3">
        <f>SE(G17&gt;=7;"Aprovado";SE(G17&gt;=5;"Em Análise";"Reprovado"))</f>
        <v/>
      </c>
    </row>
    <row r="18">
      <c r="A18" s="3" t="n">
        <v>16</v>
      </c>
      <c r="B18" s="4" t="inlineStr">
        <is>
          <t>Dias, Larissa Mendes</t>
        </is>
      </c>
      <c r="C18" s="4" t="inlineStr">
        <is>
          <t>Analista Financeiro</t>
        </is>
      </c>
      <c r="D18" s="5" t="n">
        <v>45624</v>
      </c>
      <c r="E18" s="6" t="n">
        <v>6.5</v>
      </c>
      <c r="F18" s="6" t="n">
        <v>8.4</v>
      </c>
      <c r="G18" s="6">
        <f>(E18+F18)/2</f>
        <v/>
      </c>
      <c r="H18" s="3">
        <f>SE(G18&gt;=7;"Aprovado";SE(G18&gt;=5;"Em Análise";"Reprovado"))</f>
        <v/>
      </c>
    </row>
    <row r="19">
      <c r="A19" s="3" t="n">
        <v>17</v>
      </c>
      <c r="B19" s="4" t="inlineStr">
        <is>
          <t>Nascimento, Thiago Silva</t>
        </is>
      </c>
      <c r="C19" s="4" t="inlineStr">
        <is>
          <t>Analista de BI</t>
        </is>
      </c>
      <c r="D19" s="5" t="n">
        <v>45640</v>
      </c>
      <c r="E19" s="6" t="n">
        <v>9.4</v>
      </c>
      <c r="F19" s="6" t="n">
        <v>7.4</v>
      </c>
      <c r="G19" s="6">
        <f>(E19+F19)/2</f>
        <v/>
      </c>
      <c r="H19" s="3">
        <f>SE(G19&gt;=7;"Aprovado";SE(G19&gt;=5;"Em Análise";"Reprovado"))</f>
        <v/>
      </c>
    </row>
    <row r="20">
      <c r="A20" s="3" t="n">
        <v>18</v>
      </c>
      <c r="B20" s="4" t="inlineStr">
        <is>
          <t>Moreira, Gabriela Rocha</t>
        </is>
      </c>
      <c r="C20" s="4" t="inlineStr">
        <is>
          <t>Analista de Sistemas</t>
        </is>
      </c>
      <c r="D20" s="5" t="n">
        <v>45622</v>
      </c>
      <c r="E20" s="6" t="n">
        <v>9.800000000000001</v>
      </c>
      <c r="F20" s="6" t="n">
        <v>7.9</v>
      </c>
      <c r="G20" s="6">
        <f>(E20+F20)/2</f>
        <v/>
      </c>
      <c r="H20" s="3">
        <f>SE(G20&gt;=7;"Aprovado";SE(G20&gt;=5;"Em Análise";"Reprovado"))</f>
        <v/>
      </c>
    </row>
    <row r="21">
      <c r="A21" s="3" t="n">
        <v>19</v>
      </c>
      <c r="B21" s="4" t="inlineStr">
        <is>
          <t>Barbosa, André Luís</t>
        </is>
      </c>
      <c r="C21" s="4" t="inlineStr">
        <is>
          <t>Analista de Sistemas</t>
        </is>
      </c>
      <c r="D21" s="5" t="n">
        <v>45632</v>
      </c>
      <c r="E21" s="6" t="n">
        <v>7.5</v>
      </c>
      <c r="F21" s="6" t="n">
        <v>7</v>
      </c>
      <c r="G21" s="6">
        <f>(E21+F21)/2</f>
        <v/>
      </c>
      <c r="H21" s="3">
        <f>SE(G21&gt;=7;"Aprovado";SE(G21&gt;=5;"Em Análise";"Reprovado"))</f>
        <v/>
      </c>
    </row>
    <row r="22">
      <c r="A22" s="3" t="n">
        <v>20</v>
      </c>
      <c r="B22" s="4" t="inlineStr">
        <is>
          <t>Vieira, Patricia Gomes</t>
        </is>
      </c>
      <c r="C22" s="4" t="inlineStr">
        <is>
          <t>Assistente Administrativo</t>
        </is>
      </c>
      <c r="D22" s="5" t="n">
        <v>45615</v>
      </c>
      <c r="E22" s="6" t="n">
        <v>8.1</v>
      </c>
      <c r="F22" s="6" t="n">
        <v>8.800000000000001</v>
      </c>
      <c r="G22" s="6">
        <f>(E22+F22)/2</f>
        <v/>
      </c>
      <c r="H22" s="3">
        <f>SE(G22&gt;=7;"Aprovado";SE(G22&gt;=5;"Em Análise";"Reprovado"))</f>
        <v/>
      </c>
    </row>
  </sheetData>
  <autoFilter ref="A2:H2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" t="inlineStr">
        <is>
          <t>ESTATÍSTICAS DE AVALIAÇÃO</t>
        </is>
      </c>
    </row>
    <row r="2">
      <c r="A2" s="7" t="inlineStr">
        <is>
          <t>Indicador</t>
        </is>
      </c>
      <c r="B2" s="2" t="inlineStr">
        <is>
          <t>Valor</t>
        </is>
      </c>
      <c r="C2" s="2" t="inlineStr">
        <is>
          <t>Meta</t>
        </is>
      </c>
      <c r="D2" s="2" t="inlineStr">
        <is>
          <t>Diferença</t>
        </is>
      </c>
    </row>
    <row r="3">
      <c r="A3" s="4" t="inlineStr">
        <is>
          <t>Total de Candidatos</t>
        </is>
      </c>
      <c r="B3" s="3">
        <f>CONT.VALORES('Dados dos Candidatos'!B3:B22)</f>
        <v/>
      </c>
      <c r="C3" s="3" t="n">
        <v>20</v>
      </c>
      <c r="D3" s="3">
        <f>B3-C3</f>
        <v/>
      </c>
    </row>
    <row r="4">
      <c r="A4" s="4" t="inlineStr">
        <is>
          <t>Média Geral (Notas)</t>
        </is>
      </c>
      <c r="B4" s="8">
        <f>MÉDIA('Dados dos Candidatos'!G3:G22)</f>
        <v/>
      </c>
      <c r="C4" s="8" t="n">
        <v>7.5</v>
      </c>
      <c r="D4" s="8">
        <f>B4-C4</f>
        <v/>
      </c>
    </row>
    <row r="5">
      <c r="A5" s="4" t="inlineStr">
        <is>
          <t>Candidatos Aprovados</t>
        </is>
      </c>
      <c r="B5" s="3">
        <f>CONT.SE('Dados dos Candidatos'!H3:H22;"Aprovado")</f>
        <v/>
      </c>
      <c r="C5" s="3" t="n">
        <v>12</v>
      </c>
      <c r="D5" s="3">
        <f>B5-C5</f>
        <v/>
      </c>
    </row>
    <row r="6">
      <c r="A6" s="4" t="inlineStr">
        <is>
          <t>Candidatos em Análise</t>
        </is>
      </c>
      <c r="B6" s="3">
        <f>CONT.SE('Dados dos Candidatos'!H3:H22;"Em Análise")</f>
        <v/>
      </c>
      <c r="C6" s="3" t="n">
        <v>5</v>
      </c>
      <c r="D6" s="3">
        <f>B6-C6</f>
        <v/>
      </c>
    </row>
    <row r="7">
      <c r="A7" s="4" t="inlineStr">
        <is>
          <t>Candidatos Reprovados</t>
        </is>
      </c>
      <c r="B7" s="3">
        <f>CONT.SE('Dados dos Candidatos'!H3:H22;"Reprovado")</f>
        <v/>
      </c>
      <c r="C7" s="3" t="n">
        <v>3</v>
      </c>
      <c r="D7" s="3">
        <f>B7-C7</f>
        <v/>
      </c>
    </row>
    <row r="8">
      <c r="A8" s="4" t="inlineStr">
        <is>
          <t>Taxa de Aprovação (%)</t>
        </is>
      </c>
      <c r="B8" s="8">
        <f>(B5/B3)*100</f>
        <v/>
      </c>
      <c r="C8" s="8" t="n">
        <v>60</v>
      </c>
      <c r="D8" s="8">
        <f>B8-C8</f>
        <v/>
      </c>
    </row>
    <row r="9">
      <c r="A9" s="4" t="inlineStr">
        <is>
          <t>Maior Nota</t>
        </is>
      </c>
      <c r="B9" s="8">
        <f>MÁXIMO('Dados dos Candidatos'!G3:G22)</f>
        <v/>
      </c>
      <c r="C9" s="8" t="n">
        <v>10</v>
      </c>
      <c r="D9" s="8">
        <f>B9-C9</f>
        <v/>
      </c>
    </row>
    <row r="10">
      <c r="A10" s="4" t="inlineStr">
        <is>
          <t>Menor Nota</t>
        </is>
      </c>
      <c r="B10" s="8">
        <f>MÍNIMO('Dados dos Candidatos'!G3:G22)</f>
        <v/>
      </c>
      <c r="C10" s="8" t="n">
        <v>5</v>
      </c>
      <c r="D10" s="8">
        <f>B10-C10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22" customWidth="1" min="4" max="4"/>
    <col width="14" customWidth="1" min="5" max="5"/>
  </cols>
  <sheetData>
    <row r="1" ht="25" customHeight="1">
      <c r="A1" s="1" t="inlineStr">
        <is>
          <t>ANÁLISE DE DESEMPENHO POR CARGO</t>
        </is>
      </c>
    </row>
    <row r="2">
      <c r="A2" s="2" t="inlineStr">
        <is>
          <t>Cargo</t>
        </is>
      </c>
      <c r="B2" s="2" t="inlineStr">
        <is>
          <t>Quantidade</t>
        </is>
      </c>
      <c r="C2" s="2" t="inlineStr">
        <is>
          <t>Média Técnica</t>
        </is>
      </c>
      <c r="D2" s="2" t="inlineStr">
        <is>
          <t>Média Comportamental</t>
        </is>
      </c>
      <c r="E2" s="2" t="inlineStr">
        <is>
          <t>Média Final</t>
        </is>
      </c>
    </row>
    <row r="3">
      <c r="A3" s="4" t="inlineStr">
        <is>
          <t>Analista de Sistemas</t>
        </is>
      </c>
      <c r="B3" s="3">
        <f>CONT.SE('Dados dos Candidatos'!C3:C22;A3)</f>
        <v/>
      </c>
      <c r="C3" s="8">
        <f>MÉDIA.SE('Dados dos Candidatos'!C3:C22;A3;'Dados dos Candidatos'!E3:E22)</f>
        <v/>
      </c>
      <c r="D3" s="8">
        <f>MÉDIA.SE('Dados dos Candidatos'!C3:C22;A3;'Dados dos Candidatos'!F3:F22)</f>
        <v/>
      </c>
      <c r="E3" s="8">
        <f>(C3+D3)/2</f>
        <v/>
      </c>
    </row>
    <row r="4">
      <c r="A4" s="4" t="inlineStr">
        <is>
          <t>Desenvolvedor Java</t>
        </is>
      </c>
      <c r="B4" s="3">
        <f>CONT.SE('Dados dos Candidatos'!C3:C22;A4)</f>
        <v/>
      </c>
      <c r="C4" s="8">
        <f>MÉDIA.SE('Dados dos Candidatos'!C3:C22;A4;'Dados dos Candidatos'!E3:E22)</f>
        <v/>
      </c>
      <c r="D4" s="8">
        <f>MÉDIA.SE('Dados dos Candidatos'!C3:C22;A4;'Dados dos Candidatos'!F3:F22)</f>
        <v/>
      </c>
      <c r="E4" s="8">
        <f>(C4+D4)/2</f>
        <v/>
      </c>
    </row>
    <row r="5">
      <c r="A5" s="4" t="inlineStr">
        <is>
          <t>Gerente de Projetos</t>
        </is>
      </c>
      <c r="B5" s="3">
        <f>CONT.SE('Dados dos Candidatos'!C3:C22;A5)</f>
        <v/>
      </c>
      <c r="C5" s="8">
        <f>MÉDIA.SE('Dados dos Candidatos'!C3:C22;A5;'Dados dos Candidatos'!E3:E22)</f>
        <v/>
      </c>
      <c r="D5" s="8">
        <f>MÉDIA.SE('Dados dos Candidatos'!C3:C22;A5;'Dados dos Candidatos'!F3:F22)</f>
        <v/>
      </c>
      <c r="E5" s="8">
        <f>(C5+D5)/2</f>
        <v/>
      </c>
    </row>
    <row r="6">
      <c r="A6" s="4" t="inlineStr">
        <is>
          <t>Analista de Marketing</t>
        </is>
      </c>
      <c r="B6" s="3">
        <f>CONT.SE('Dados dos Candidatos'!C3:C22;A6)</f>
        <v/>
      </c>
      <c r="C6" s="8">
        <f>MÉDIA.SE('Dados dos Candidatos'!C3:C22;A6;'Dados dos Candidatos'!E3:E22)</f>
        <v/>
      </c>
      <c r="D6" s="8">
        <f>MÉDIA.SE('Dados dos Candidatos'!C3:C22;A6;'Dados dos Candidatos'!F3:F22)</f>
        <v/>
      </c>
      <c r="E6" s="8">
        <f>(C6+D6)/2</f>
        <v/>
      </c>
    </row>
    <row r="7">
      <c r="A7" s="4" t="inlineStr">
        <is>
          <t>Contador Senior</t>
        </is>
      </c>
      <c r="B7" s="3">
        <f>CONT.SE('Dados dos Candidatos'!C3:C22;A7)</f>
        <v/>
      </c>
      <c r="C7" s="8">
        <f>MÉDIA.SE('Dados dos Candidatos'!C3:C22;A7;'Dados dos Candidatos'!E3:E22)</f>
        <v/>
      </c>
      <c r="D7" s="8">
        <f>MÉDIA.SE('Dados dos Candidatos'!C3:C22;A7;'Dados dos Candidatos'!F3:F22)</f>
        <v/>
      </c>
      <c r="E7" s="8">
        <f>(C7+D7)/2</f>
        <v/>
      </c>
    </row>
    <row r="8">
      <c r="A8" s="4" t="inlineStr">
        <is>
          <t>Engenheiro de Dados</t>
        </is>
      </c>
      <c r="B8" s="3">
        <f>CONT.SE('Dados dos Candidatos'!C3:C22;A8)</f>
        <v/>
      </c>
      <c r="C8" s="8">
        <f>MÉDIA.SE('Dados dos Candidatos'!C3:C22;A8;'Dados dos Candidatos'!E3:E22)</f>
        <v/>
      </c>
      <c r="D8" s="8">
        <f>MÉDIA.SE('Dados dos Candidatos'!C3:C22;A8;'Dados dos Candidatos'!F3:F22)</f>
        <v/>
      </c>
      <c r="E8" s="8">
        <f>(C8+D8)/2</f>
        <v/>
      </c>
    </row>
    <row r="9">
      <c r="A9" s="4" t="inlineStr">
        <is>
          <t>Analista Financeiro</t>
        </is>
      </c>
      <c r="B9" s="3">
        <f>CONT.SE('Dados dos Candidatos'!C3:C22;A9)</f>
        <v/>
      </c>
      <c r="C9" s="8">
        <f>MÉDIA.SE('Dados dos Candidatos'!C3:C22;A9;'Dados dos Candidatos'!E3:E22)</f>
        <v/>
      </c>
      <c r="D9" s="8">
        <f>MÉDIA.SE('Dados dos Candidatos'!C3:C22;A9;'Dados dos Candidatos'!F3:F22)</f>
        <v/>
      </c>
      <c r="E9" s="8">
        <f>(C9+D9)/2</f>
        <v/>
      </c>
    </row>
    <row r="10">
      <c r="A10" s="4" t="inlineStr">
        <is>
          <t>Desenvolvedor Python</t>
        </is>
      </c>
      <c r="B10" s="3">
        <f>CONT.SE('Dados dos Candidatos'!C3:C22;A10)</f>
        <v/>
      </c>
      <c r="C10" s="8">
        <f>MÉDIA.SE('Dados dos Candidatos'!C3:C22;A10;'Dados dos Candidatos'!E3:E22)</f>
        <v/>
      </c>
      <c r="D10" s="8">
        <f>MÉDIA.SE('Dados dos Candidatos'!C3:C22;A10;'Dados dos Candidatos'!F3:F22)</f>
        <v/>
      </c>
      <c r="E10" s="8">
        <f>(C10+D10)/2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2025-12-15T12:59:12Z</dcterms:created>
  <dcterms:modified xsi:type="dcterms:W3CDTF">2025-12-15T12:59:12Z</dcterms:modified>
</cp:coreProperties>
</file>
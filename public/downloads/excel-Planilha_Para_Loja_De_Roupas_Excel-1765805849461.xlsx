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de Produtos" sheetId="1" state="visible" r:id="rId1"/>
    <sheet name="Vendas Diárias" sheetId="2" state="visible" r:id="rId2"/>
    <sheet name="Dashboard" sheetId="3" state="visible" r:id="rId3"/>
  </sheets>
  <definedNames>
    <definedName name="_xlnm._FilterDatabase" localSheetId="0" hidden="1">'Estoque de Produtos'!$A$1:$J$21</definedName>
    <definedName name="_xlnm._FilterDatabase" localSheetId="1" hidden="1">'Vendas Diárias'!$A$1:$J$26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%&quot;"/>
    <numFmt numFmtId="166" formatCode="yyyy-mm-dd h:mm:ss"/>
    <numFmt numFmtId="167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F4E78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2" fillId="0" borderId="0" pivotButton="0" quotePrefix="0" xfId="0"/>
    <xf numFmtId="164" fontId="2" fillId="3" borderId="0" pivotButton="0" quotePrefix="0" xfId="0"/>
    <xf numFmtId="167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do Estoque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'Dashboard'!$A$12:$A$27</f>
            </numRef>
          </cat>
          <val>
            <numRef>
              <f>'Dashboard'!$B$12:$B$27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3" customWidth="1" min="4" max="4"/>
    <col width="15" customWidth="1" min="5" max="5"/>
    <col width="12" customWidth="1" min="6" max="6"/>
    <col width="14" customWidth="1" min="7" max="7"/>
    <col width="12" customWidth="1" min="8" max="8"/>
    <col width="16" customWidth="1" min="9" max="9"/>
    <col width="10" customWidth="1" min="10" max="10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Custo (R$)</t>
        </is>
      </c>
      <c r="E1" s="1" t="inlineStr">
        <is>
          <t>Preço Venda (R$)</t>
        </is>
      </c>
      <c r="F1" s="1" t="inlineStr">
        <is>
          <t>Margem (%)</t>
        </is>
      </c>
      <c r="G1" s="1" t="inlineStr">
        <is>
          <t>Estoque Atual</t>
        </is>
      </c>
      <c r="H1" s="1" t="inlineStr">
        <is>
          <t>Tamanhos</t>
        </is>
      </c>
      <c r="I1" s="1" t="inlineStr">
        <is>
          <t>Valor Total (R$)</t>
        </is>
      </c>
      <c r="J1" s="1" t="inlineStr">
        <is>
          <t>Status</t>
        </is>
      </c>
    </row>
    <row r="2">
      <c r="A2" s="2" t="inlineStr">
        <is>
          <t>PRD001</t>
        </is>
      </c>
      <c r="B2" s="2" t="inlineStr">
        <is>
          <t>Camiseta Básica Branca</t>
        </is>
      </c>
      <c r="C2" s="2" t="inlineStr">
        <is>
          <t>Camisetas</t>
        </is>
      </c>
      <c r="D2" s="3" t="n">
        <v>45.9</v>
      </c>
      <c r="E2" s="3" t="n">
        <v>89.90000000000001</v>
      </c>
      <c r="F2" s="4">
        <f>((E2-D2)/D2)*100</f>
        <v/>
      </c>
      <c r="G2" s="2" t="n">
        <v>156</v>
      </c>
      <c r="H2" s="2" t="inlineStr">
        <is>
          <t>P/M/G/GG</t>
        </is>
      </c>
      <c r="I2" s="3">
        <f>D2*G2</f>
        <v/>
      </c>
      <c r="J2" s="2">
        <f>SE(G2&lt;50;"Baixo";SE(G2&lt;100;"Médio";"Alto"))</f>
        <v/>
      </c>
    </row>
    <row r="3">
      <c r="A3" s="2" t="inlineStr">
        <is>
          <t>PRD002</t>
        </is>
      </c>
      <c r="B3" s="2" t="inlineStr">
        <is>
          <t>Calça Jeans Skinny</t>
        </is>
      </c>
      <c r="C3" s="2" t="inlineStr">
        <is>
          <t>Calças</t>
        </is>
      </c>
      <c r="D3" s="3" t="n">
        <v>89.5</v>
      </c>
      <c r="E3" s="3" t="n">
        <v>179.9</v>
      </c>
      <c r="F3" s="4">
        <f>((E3-D3)/D3)*100</f>
        <v/>
      </c>
      <c r="G3" s="2" t="n">
        <v>87</v>
      </c>
      <c r="H3" s="2" t="inlineStr">
        <is>
          <t>36-44</t>
        </is>
      </c>
      <c r="I3" s="3">
        <f>D3*G3</f>
        <v/>
      </c>
      <c r="J3" s="2">
        <f>SE(G3&lt;50;"Baixo";SE(G3&lt;100;"Médio";"Alto"))</f>
        <v/>
      </c>
    </row>
    <row r="4">
      <c r="A4" s="2" t="inlineStr">
        <is>
          <t>PRD003</t>
        </is>
      </c>
      <c r="B4" s="2" t="inlineStr">
        <is>
          <t>Vestido Floral Verão</t>
        </is>
      </c>
      <c r="C4" s="2" t="inlineStr">
        <is>
          <t>Vestidos</t>
        </is>
      </c>
      <c r="D4" s="3" t="n">
        <v>72.3</v>
      </c>
      <c r="E4" s="3" t="n">
        <v>159.9</v>
      </c>
      <c r="F4" s="4">
        <f>((E4-D4)/D4)*100</f>
        <v/>
      </c>
      <c r="G4" s="2" t="n">
        <v>64</v>
      </c>
      <c r="H4" s="2" t="inlineStr">
        <is>
          <t>P/M/G</t>
        </is>
      </c>
      <c r="I4" s="3">
        <f>D4*G4</f>
        <v/>
      </c>
      <c r="J4" s="2">
        <f>SE(G4&lt;50;"Baixo";SE(G4&lt;100;"Médio";"Alto"))</f>
        <v/>
      </c>
    </row>
    <row r="5">
      <c r="A5" s="2" t="inlineStr">
        <is>
          <t>PRD004</t>
        </is>
      </c>
      <c r="B5" s="2" t="inlineStr">
        <is>
          <t>Blazer Executivo Preto</t>
        </is>
      </c>
      <c r="C5" s="2" t="inlineStr">
        <is>
          <t>Blazers</t>
        </is>
      </c>
      <c r="D5" s="3" t="n">
        <v>125</v>
      </c>
      <c r="E5" s="3" t="n">
        <v>289.9</v>
      </c>
      <c r="F5" s="4">
        <f>((E5-D5)/D5)*100</f>
        <v/>
      </c>
      <c r="G5" s="2" t="n">
        <v>43</v>
      </c>
      <c r="H5" s="2" t="inlineStr">
        <is>
          <t>P/M/G/GG</t>
        </is>
      </c>
      <c r="I5" s="3">
        <f>D5*G5</f>
        <v/>
      </c>
      <c r="J5" s="2">
        <f>SE(G5&lt;50;"Baixo";SE(G5&lt;100;"Médio";"Alto"))</f>
        <v/>
      </c>
    </row>
    <row r="6">
      <c r="A6" s="2" t="inlineStr">
        <is>
          <t>PRD005</t>
        </is>
      </c>
      <c r="B6" s="2" t="inlineStr">
        <is>
          <t>Short Jeans Destroyed</t>
        </is>
      </c>
      <c r="C6" s="2" t="inlineStr">
        <is>
          <t>Shorts</t>
        </is>
      </c>
      <c r="D6" s="3" t="n">
        <v>58.4</v>
      </c>
      <c r="E6" s="3" t="n">
        <v>119.9</v>
      </c>
      <c r="F6" s="4">
        <f>((E6-D6)/D6)*100</f>
        <v/>
      </c>
      <c r="G6" s="2" t="n">
        <v>92</v>
      </c>
      <c r="H6" s="2" t="inlineStr">
        <is>
          <t>36-44</t>
        </is>
      </c>
      <c r="I6" s="3">
        <f>D6*G6</f>
        <v/>
      </c>
      <c r="J6" s="2">
        <f>SE(G6&lt;50;"Baixo";SE(G6&lt;100;"Médio";"Alto"))</f>
        <v/>
      </c>
    </row>
    <row r="7">
      <c r="A7" s="2" t="inlineStr">
        <is>
          <t>PRD006</t>
        </is>
      </c>
      <c r="B7" s="2" t="inlineStr">
        <is>
          <t>Blusa Manga Longa</t>
        </is>
      </c>
      <c r="C7" s="2" t="inlineStr">
        <is>
          <t>Blusas</t>
        </is>
      </c>
      <c r="D7" s="3" t="n">
        <v>52.8</v>
      </c>
      <c r="E7" s="3" t="n">
        <v>109.9</v>
      </c>
      <c r="F7" s="4">
        <f>((E7-D7)/D7)*100</f>
        <v/>
      </c>
      <c r="G7" s="2" t="n">
        <v>118</v>
      </c>
      <c r="H7" s="2" t="inlineStr">
        <is>
          <t>P/M/G/GG</t>
        </is>
      </c>
      <c r="I7" s="3">
        <f>D7*G7</f>
        <v/>
      </c>
      <c r="J7" s="2">
        <f>SE(G7&lt;50;"Baixo";SE(G7&lt;100;"Médio";"Alto"))</f>
        <v/>
      </c>
    </row>
    <row r="8">
      <c r="A8" s="2" t="inlineStr">
        <is>
          <t>PRD007</t>
        </is>
      </c>
      <c r="B8" s="2" t="inlineStr">
        <is>
          <t>Saia Midi Plissada</t>
        </is>
      </c>
      <c r="C8" s="2" t="inlineStr">
        <is>
          <t>Saias</t>
        </is>
      </c>
      <c r="D8" s="3" t="n">
        <v>64.2</v>
      </c>
      <c r="E8" s="3" t="n">
        <v>139.9</v>
      </c>
      <c r="F8" s="4">
        <f>((E8-D8)/D8)*100</f>
        <v/>
      </c>
      <c r="G8" s="2" t="n">
        <v>71</v>
      </c>
      <c r="H8" s="2" t="inlineStr">
        <is>
          <t>P/M/G</t>
        </is>
      </c>
      <c r="I8" s="3">
        <f>D8*G8</f>
        <v/>
      </c>
      <c r="J8" s="2">
        <f>SE(G8&lt;50;"Baixo";SE(G8&lt;100;"Médio";"Alto"))</f>
        <v/>
      </c>
    </row>
    <row r="9">
      <c r="A9" s="2" t="inlineStr">
        <is>
          <t>PRD008</t>
        </is>
      </c>
      <c r="B9" s="2" t="inlineStr">
        <is>
          <t>Jaqueta Jeans</t>
        </is>
      </c>
      <c r="C9" s="2" t="inlineStr">
        <is>
          <t>Jaquetas</t>
        </is>
      </c>
      <c r="D9" s="3" t="n">
        <v>98.7</v>
      </c>
      <c r="E9" s="3" t="n">
        <v>219.9</v>
      </c>
      <c r="F9" s="4">
        <f>((E9-D9)/D9)*100</f>
        <v/>
      </c>
      <c r="G9" s="2" t="n">
        <v>54</v>
      </c>
      <c r="H9" s="2" t="inlineStr">
        <is>
          <t>P/M/G/GG</t>
        </is>
      </c>
      <c r="I9" s="3">
        <f>D9*G9</f>
        <v/>
      </c>
      <c r="J9" s="2">
        <f>SE(G9&lt;50;"Baixo";SE(G9&lt;100;"Médio";"Alto"))</f>
        <v/>
      </c>
    </row>
    <row r="10">
      <c r="A10" s="2" t="inlineStr">
        <is>
          <t>PRD009</t>
        </is>
      </c>
      <c r="B10" s="2" t="inlineStr">
        <is>
          <t>Body Manga Curta</t>
        </is>
      </c>
      <c r="C10" s="2" t="inlineStr">
        <is>
          <t>Bodies</t>
        </is>
      </c>
      <c r="D10" s="3" t="n">
        <v>38.5</v>
      </c>
      <c r="E10" s="3" t="n">
        <v>79.90000000000001</v>
      </c>
      <c r="F10" s="4">
        <f>((E10-D10)/D10)*100</f>
        <v/>
      </c>
      <c r="G10" s="2" t="n">
        <v>134</v>
      </c>
      <c r="H10" s="2" t="inlineStr">
        <is>
          <t>P/M/G</t>
        </is>
      </c>
      <c r="I10" s="3">
        <f>D10*G10</f>
        <v/>
      </c>
      <c r="J10" s="2">
        <f>SE(G10&lt;50;"Baixo";SE(G10&lt;100;"Médio";"Alto"))</f>
        <v/>
      </c>
    </row>
    <row r="11">
      <c r="A11" s="2" t="inlineStr">
        <is>
          <t>PRD010</t>
        </is>
      </c>
      <c r="B11" s="2" t="inlineStr">
        <is>
          <t>Calça Alfaiataria</t>
        </is>
      </c>
      <c r="C11" s="2" t="inlineStr">
        <is>
          <t>Calças</t>
        </is>
      </c>
      <c r="D11" s="3" t="n">
        <v>95.3</v>
      </c>
      <c r="E11" s="3" t="n">
        <v>199.9</v>
      </c>
      <c r="F11" s="4">
        <f>((E11-D11)/D11)*100</f>
        <v/>
      </c>
      <c r="G11" s="2" t="n">
        <v>59</v>
      </c>
      <c r="H11" s="2" t="inlineStr">
        <is>
          <t>36-44</t>
        </is>
      </c>
      <c r="I11" s="3">
        <f>D11*G11</f>
        <v/>
      </c>
      <c r="J11" s="2">
        <f>SE(G11&lt;50;"Baixo";SE(G11&lt;100;"Médio";"Alto"))</f>
        <v/>
      </c>
    </row>
    <row r="12">
      <c r="A12" s="2" t="inlineStr">
        <is>
          <t>PRD011</t>
        </is>
      </c>
      <c r="B12" s="2" t="inlineStr">
        <is>
          <t>Camiseta Estampada</t>
        </is>
      </c>
      <c r="C12" s="2" t="inlineStr">
        <is>
          <t>Camisetas</t>
        </is>
      </c>
      <c r="D12" s="3" t="n">
        <v>49.9</v>
      </c>
      <c r="E12" s="3" t="n">
        <v>99.90000000000001</v>
      </c>
      <c r="F12" s="4">
        <f>((E12-D12)/D12)*100</f>
        <v/>
      </c>
      <c r="G12" s="2" t="n">
        <v>143</v>
      </c>
      <c r="H12" s="2" t="inlineStr">
        <is>
          <t>P/M/G/GG</t>
        </is>
      </c>
      <c r="I12" s="3">
        <f>D12*G12</f>
        <v/>
      </c>
      <c r="J12" s="2">
        <f>SE(G12&lt;50;"Baixo";SE(G12&lt;100;"Médio";"Alto"))</f>
        <v/>
      </c>
    </row>
    <row r="13">
      <c r="A13" s="2" t="inlineStr">
        <is>
          <t>PRD012</t>
        </is>
      </c>
      <c r="B13" s="2" t="inlineStr">
        <is>
          <t>Vestido Longo Festa</t>
        </is>
      </c>
      <c r="C13" s="2" t="inlineStr">
        <is>
          <t>Vestidos</t>
        </is>
      </c>
      <c r="D13" s="3" t="n">
        <v>145</v>
      </c>
      <c r="E13" s="3" t="n">
        <v>329.9</v>
      </c>
      <c r="F13" s="4">
        <f>((E13-D13)/D13)*100</f>
        <v/>
      </c>
      <c r="G13" s="2" t="n">
        <v>28</v>
      </c>
      <c r="H13" s="2" t="inlineStr">
        <is>
          <t>P/M/G</t>
        </is>
      </c>
      <c r="I13" s="3">
        <f>D13*G13</f>
        <v/>
      </c>
      <c r="J13" s="2">
        <f>SE(G13&lt;50;"Baixo";SE(G13&lt;100;"Médio";"Alto"))</f>
        <v/>
      </c>
    </row>
    <row r="14">
      <c r="A14" s="2" t="inlineStr">
        <is>
          <t>PRD013</t>
        </is>
      </c>
      <c r="B14" s="2" t="inlineStr">
        <is>
          <t>Cardigan Tricot</t>
        </is>
      </c>
      <c r="C14" s="2" t="inlineStr">
        <is>
          <t>Casacos</t>
        </is>
      </c>
      <c r="D14" s="3" t="n">
        <v>78.59999999999999</v>
      </c>
      <c r="E14" s="3" t="n">
        <v>169.9</v>
      </c>
      <c r="F14" s="4">
        <f>((E14-D14)/D14)*100</f>
        <v/>
      </c>
      <c r="G14" s="2" t="n">
        <v>67</v>
      </c>
      <c r="H14" s="2" t="inlineStr">
        <is>
          <t>P/M/G/GG</t>
        </is>
      </c>
      <c r="I14" s="3">
        <f>D14*G14</f>
        <v/>
      </c>
      <c r="J14" s="2">
        <f>SE(G14&lt;50;"Baixo";SE(G14&lt;100;"Médio";"Alto"))</f>
        <v/>
      </c>
    </row>
    <row r="15">
      <c r="A15" s="2" t="inlineStr">
        <is>
          <t>PRD014</t>
        </is>
      </c>
      <c r="B15" s="2" t="inlineStr">
        <is>
          <t>Short Alfaiataria</t>
        </is>
      </c>
      <c r="C15" s="2" t="inlineStr">
        <is>
          <t>Shorts</t>
        </is>
      </c>
      <c r="D15" s="3" t="n">
        <v>62.5</v>
      </c>
      <c r="E15" s="3" t="n">
        <v>129.9</v>
      </c>
      <c r="F15" s="4">
        <f>((E15-D15)/D15)*100</f>
        <v/>
      </c>
      <c r="G15" s="2" t="n">
        <v>81</v>
      </c>
      <c r="H15" s="2" t="inlineStr">
        <is>
          <t>36-44</t>
        </is>
      </c>
      <c r="I15" s="3">
        <f>D15*G15</f>
        <v/>
      </c>
      <c r="J15" s="2">
        <f>SE(G15&lt;50;"Baixo";SE(G15&lt;100;"Médio";"Alto"))</f>
        <v/>
      </c>
    </row>
    <row r="16">
      <c r="A16" s="2" t="inlineStr">
        <is>
          <t>PRD015</t>
        </is>
      </c>
      <c r="B16" s="2" t="inlineStr">
        <is>
          <t>Top Cropped</t>
        </is>
      </c>
      <c r="C16" s="2" t="inlineStr">
        <is>
          <t>Tops</t>
        </is>
      </c>
      <c r="D16" s="3" t="n">
        <v>34.9</v>
      </c>
      <c r="E16" s="3" t="n">
        <v>69.90000000000001</v>
      </c>
      <c r="F16" s="4">
        <f>((E16-D16)/D16)*100</f>
        <v/>
      </c>
      <c r="G16" s="2" t="n">
        <v>167</v>
      </c>
      <c r="H16" s="2" t="inlineStr">
        <is>
          <t>P/M/G</t>
        </is>
      </c>
      <c r="I16" s="3">
        <f>D16*G16</f>
        <v/>
      </c>
      <c r="J16" s="2">
        <f>SE(G16&lt;50;"Baixo";SE(G16&lt;100;"Médio";"Alto"))</f>
        <v/>
      </c>
    </row>
    <row r="17">
      <c r="A17" s="2" t="inlineStr">
        <is>
          <t>PRD016</t>
        </is>
      </c>
      <c r="B17" s="2" t="inlineStr">
        <is>
          <t>Macaquinho Jeans</t>
        </is>
      </c>
      <c r="C17" s="2" t="inlineStr">
        <is>
          <t>Macacões</t>
        </is>
      </c>
      <c r="D17" s="3" t="n">
        <v>88.40000000000001</v>
      </c>
      <c r="E17" s="3" t="n">
        <v>189.9</v>
      </c>
      <c r="F17" s="4">
        <f>((E17-D17)/D17)*100</f>
        <v/>
      </c>
      <c r="G17" s="2" t="n">
        <v>45</v>
      </c>
      <c r="H17" s="2" t="inlineStr">
        <is>
          <t>P/M/G</t>
        </is>
      </c>
      <c r="I17" s="3">
        <f>D17*G17</f>
        <v/>
      </c>
      <c r="J17" s="2">
        <f>SE(G17&lt;50;"Baixo";SE(G17&lt;100;"Médio";"Alto"))</f>
        <v/>
      </c>
    </row>
    <row r="18">
      <c r="A18" s="2" t="inlineStr">
        <is>
          <t>PRD017</t>
        </is>
      </c>
      <c r="B18" s="2" t="inlineStr">
        <is>
          <t>Camisa Social Branca</t>
        </is>
      </c>
      <c r="C18" s="2" t="inlineStr">
        <is>
          <t>Camisas</t>
        </is>
      </c>
      <c r="D18" s="3" t="n">
        <v>69.8</v>
      </c>
      <c r="E18" s="3" t="n">
        <v>149.9</v>
      </c>
      <c r="F18" s="4">
        <f>((E18-D18)/D18)*100</f>
        <v/>
      </c>
      <c r="G18" s="2" t="n">
        <v>96</v>
      </c>
      <c r="H18" s="2" t="inlineStr">
        <is>
          <t>P/M/G/GG</t>
        </is>
      </c>
      <c r="I18" s="3">
        <f>D18*G18</f>
        <v/>
      </c>
      <c r="J18" s="2">
        <f>SE(G18&lt;50;"Baixo";SE(G18&lt;100;"Médio";"Alto"))</f>
        <v/>
      </c>
    </row>
    <row r="19">
      <c r="A19" s="2" t="inlineStr">
        <is>
          <t>PRD018</t>
        </is>
      </c>
      <c r="B19" s="2" t="inlineStr">
        <is>
          <t>Conjunto Moletom</t>
        </is>
      </c>
      <c r="C19" s="2" t="inlineStr">
        <is>
          <t>Conjuntos</t>
        </is>
      </c>
      <c r="D19" s="3" t="n">
        <v>115</v>
      </c>
      <c r="E19" s="3" t="n">
        <v>249.9</v>
      </c>
      <c r="F19" s="4">
        <f>((E19-D19)/D19)*100</f>
        <v/>
      </c>
      <c r="G19" s="2" t="n">
        <v>52</v>
      </c>
      <c r="H19" s="2" t="inlineStr">
        <is>
          <t>P/M/G/GG</t>
        </is>
      </c>
      <c r="I19" s="3">
        <f>D19*G19</f>
        <v/>
      </c>
      <c r="J19" s="2">
        <f>SE(G19&lt;50;"Baixo";SE(G19&lt;100;"Médio";"Alto"))</f>
        <v/>
      </c>
    </row>
    <row r="20">
      <c r="A20" s="2" t="inlineStr">
        <is>
          <t>PRD019</t>
        </is>
      </c>
      <c r="B20" s="2" t="inlineStr">
        <is>
          <t>Legging Fitness</t>
        </is>
      </c>
      <c r="C20" s="2" t="inlineStr">
        <is>
          <t>Fitness</t>
        </is>
      </c>
      <c r="D20" s="3" t="n">
        <v>48.3</v>
      </c>
      <c r="E20" s="3" t="n">
        <v>99.90000000000001</v>
      </c>
      <c r="F20" s="4">
        <f>((E20-D20)/D20)*100</f>
        <v/>
      </c>
      <c r="G20" s="2" t="n">
        <v>124</v>
      </c>
      <c r="H20" s="2" t="inlineStr">
        <is>
          <t>P/M/G</t>
        </is>
      </c>
      <c r="I20" s="3">
        <f>D20*G20</f>
        <v/>
      </c>
      <c r="J20" s="2">
        <f>SE(G20&lt;50;"Baixo";SE(G20&lt;100;"Médio";"Alto"))</f>
        <v/>
      </c>
    </row>
    <row r="21">
      <c r="A21" s="2" t="inlineStr">
        <is>
          <t>PRD020</t>
        </is>
      </c>
      <c r="B21" s="2" t="inlineStr">
        <is>
          <t>Kimono Estampado</t>
        </is>
      </c>
      <c r="C21" s="2" t="inlineStr">
        <is>
          <t>Kimonos</t>
        </is>
      </c>
      <c r="D21" s="3" t="n">
        <v>82.5</v>
      </c>
      <c r="E21" s="3" t="n">
        <v>179.9</v>
      </c>
      <c r="F21" s="4">
        <f>((E21-D21)/D21)*100</f>
        <v/>
      </c>
      <c r="G21" s="2" t="n">
        <v>38</v>
      </c>
      <c r="H21" s="2" t="inlineStr">
        <is>
          <t>Único</t>
        </is>
      </c>
      <c r="I21" s="3">
        <f>D21*G21</f>
        <v/>
      </c>
      <c r="J21" s="2">
        <f>SE(G21&lt;50;"Baixo";SE(G21&lt;100;"Médio";"Alto"))</f>
        <v/>
      </c>
    </row>
    <row r="22">
      <c r="B22" s="5" t="inlineStr">
        <is>
          <t>TOTAL GERAL</t>
        </is>
      </c>
      <c r="I22" s="6">
        <f>SOMA(I2:I21)</f>
        <v/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8" customWidth="1" min="4" max="4"/>
    <col width="11" customWidth="1" min="5" max="5"/>
    <col width="14" customWidth="1" min="6" max="6"/>
    <col width="12" customWidth="1" min="7" max="7"/>
    <col width="13" customWidth="1" min="8" max="8"/>
    <col width="16" customWidth="1" min="9" max="9"/>
    <col width="16" customWidth="1" min="10" max="10"/>
  </cols>
  <sheetData>
    <row r="1">
      <c r="A1" s="1" t="inlineStr">
        <is>
          <t>Data</t>
        </is>
      </c>
      <c r="B1" s="1" t="inlineStr">
        <is>
          <t>Nº Venda</t>
        </is>
      </c>
      <c r="C1" s="1" t="inlineStr">
        <is>
          <t>Código Produto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Preço Unit. (R$)</t>
        </is>
      </c>
      <c r="G1" s="1" t="inlineStr">
        <is>
          <t>Desconto (%)</t>
        </is>
      </c>
      <c r="H1" s="1" t="inlineStr">
        <is>
          <t>Total (R$)</t>
        </is>
      </c>
      <c r="I1" s="1" t="inlineStr">
        <is>
          <t>Forma Pagamento</t>
        </is>
      </c>
      <c r="J1" s="1" t="inlineStr">
        <is>
          <t>Vendedor</t>
        </is>
      </c>
    </row>
    <row r="2">
      <c r="A2" s="7" t="n">
        <v>45986.61211248521</v>
      </c>
      <c r="B2" s="2" t="inlineStr">
        <is>
          <t>VND1200</t>
        </is>
      </c>
      <c r="C2" s="2" t="inlineStr">
        <is>
          <t>PRD008</t>
        </is>
      </c>
      <c r="D2" s="2" t="inlineStr">
        <is>
          <t>Jaqueta Jeans</t>
        </is>
      </c>
      <c r="E2" s="2" t="n">
        <v>3</v>
      </c>
      <c r="F2" s="3" t="n">
        <v>219.9</v>
      </c>
      <c r="G2" s="8" t="n">
        <v>0.15</v>
      </c>
      <c r="H2" s="3">
        <f>E2*F2*(1-G2)</f>
        <v/>
      </c>
      <c r="I2" s="2" t="inlineStr">
        <is>
          <t>Crédito 2x</t>
        </is>
      </c>
      <c r="J2" s="2" t="inlineStr">
        <is>
          <t>Mariana Costa</t>
        </is>
      </c>
    </row>
    <row r="3">
      <c r="A3" s="7" t="n">
        <v>45987.61211248521</v>
      </c>
      <c r="B3" s="2" t="inlineStr">
        <is>
          <t>VND1201</t>
        </is>
      </c>
      <c r="C3" s="2" t="inlineStr">
        <is>
          <t>PRD004</t>
        </is>
      </c>
      <c r="D3" s="2" t="inlineStr">
        <is>
          <t>Blazer Executivo Preto</t>
        </is>
      </c>
      <c r="E3" s="2" t="n">
        <v>1</v>
      </c>
      <c r="F3" s="3" t="n">
        <v>289.9</v>
      </c>
      <c r="G3" s="8" t="n">
        <v>0</v>
      </c>
      <c r="H3" s="3">
        <f>E3*F3*(1-G3)</f>
        <v/>
      </c>
      <c r="I3" s="2" t="inlineStr">
        <is>
          <t>Crédito à Vista</t>
        </is>
      </c>
      <c r="J3" s="2" t="inlineStr">
        <is>
          <t>Roberto Lima</t>
        </is>
      </c>
    </row>
    <row r="4">
      <c r="A4" s="7" t="n">
        <v>45988.61211248521</v>
      </c>
      <c r="B4" s="2" t="inlineStr">
        <is>
          <t>VND1202</t>
        </is>
      </c>
      <c r="C4" s="2" t="inlineStr">
        <is>
          <t>PRD011</t>
        </is>
      </c>
      <c r="D4" s="2" t="inlineStr">
        <is>
          <t>Camiseta Estampada</t>
        </is>
      </c>
      <c r="E4" s="2" t="n">
        <v>2</v>
      </c>
      <c r="F4" s="3" t="n">
        <v>99.90000000000001</v>
      </c>
      <c r="G4" s="8" t="n">
        <v>0</v>
      </c>
      <c r="H4" s="3">
        <f>E4*F4*(1-G4)</f>
        <v/>
      </c>
      <c r="I4" s="2" t="inlineStr">
        <is>
          <t>Crédito à Vista</t>
        </is>
      </c>
      <c r="J4" s="2" t="inlineStr">
        <is>
          <t>Carlos Santos</t>
        </is>
      </c>
    </row>
    <row r="5">
      <c r="A5" s="7" t="n">
        <v>45989.61211248521</v>
      </c>
      <c r="B5" s="2" t="inlineStr">
        <is>
          <t>VND1203</t>
        </is>
      </c>
      <c r="C5" s="2" t="inlineStr">
        <is>
          <t>PRD012</t>
        </is>
      </c>
      <c r="D5" s="2" t="inlineStr">
        <is>
          <t>Vestido Longo Festa</t>
        </is>
      </c>
      <c r="E5" s="2" t="n">
        <v>4</v>
      </c>
      <c r="F5" s="3" t="n">
        <v>329.9</v>
      </c>
      <c r="G5" s="8" t="n">
        <v>0.15</v>
      </c>
      <c r="H5" s="3">
        <f>E5*F5*(1-G5)</f>
        <v/>
      </c>
      <c r="I5" s="2" t="inlineStr">
        <is>
          <t>Crédito 2x</t>
        </is>
      </c>
      <c r="J5" s="2" t="inlineStr">
        <is>
          <t>Mariana Costa</t>
        </is>
      </c>
    </row>
    <row r="6">
      <c r="A6" s="7" t="n">
        <v>45990.61211248521</v>
      </c>
      <c r="B6" s="2" t="inlineStr">
        <is>
          <t>VND1204</t>
        </is>
      </c>
      <c r="C6" s="2" t="inlineStr">
        <is>
          <t>PRD004</t>
        </is>
      </c>
      <c r="D6" s="2" t="inlineStr">
        <is>
          <t>Blazer Executivo Preto</t>
        </is>
      </c>
      <c r="E6" s="2" t="n">
        <v>5</v>
      </c>
      <c r="F6" s="3" t="n">
        <v>289.9</v>
      </c>
      <c r="G6" s="8" t="n">
        <v>0</v>
      </c>
      <c r="H6" s="3">
        <f>E6*F6*(1-G6)</f>
        <v/>
      </c>
      <c r="I6" s="2" t="inlineStr">
        <is>
          <t>PIX</t>
        </is>
      </c>
      <c r="J6" s="2" t="inlineStr">
        <is>
          <t>Carlos Santos</t>
        </is>
      </c>
    </row>
    <row r="7">
      <c r="A7" s="7" t="n">
        <v>45991.61211248521</v>
      </c>
      <c r="B7" s="2" t="inlineStr">
        <is>
          <t>VND1205</t>
        </is>
      </c>
      <c r="C7" s="2" t="inlineStr">
        <is>
          <t>PRD005</t>
        </is>
      </c>
      <c r="D7" s="2" t="inlineStr">
        <is>
          <t>Short Jeans Destroyed</t>
        </is>
      </c>
      <c r="E7" s="2" t="n">
        <v>1</v>
      </c>
      <c r="F7" s="3" t="n">
        <v>119.9</v>
      </c>
      <c r="G7" s="8" t="n">
        <v>0.15</v>
      </c>
      <c r="H7" s="3">
        <f>E7*F7*(1-G7)</f>
        <v/>
      </c>
      <c r="I7" s="2" t="inlineStr">
        <is>
          <t>Crédito 2x</t>
        </is>
      </c>
      <c r="J7" s="2" t="inlineStr">
        <is>
          <t>Juliana Oliveira</t>
        </is>
      </c>
    </row>
    <row r="8">
      <c r="A8" s="7" t="n">
        <v>45992.61211248521</v>
      </c>
      <c r="B8" s="2" t="inlineStr">
        <is>
          <t>VND1206</t>
        </is>
      </c>
      <c r="C8" s="2" t="inlineStr">
        <is>
          <t>PRD018</t>
        </is>
      </c>
      <c r="D8" s="2" t="inlineStr">
        <is>
          <t>Conjunto Moletom</t>
        </is>
      </c>
      <c r="E8" s="2" t="n">
        <v>3</v>
      </c>
      <c r="F8" s="3" t="n">
        <v>249.9</v>
      </c>
      <c r="G8" s="8" t="n">
        <v>0</v>
      </c>
      <c r="H8" s="3">
        <f>E8*F8*(1-G8)</f>
        <v/>
      </c>
      <c r="I8" s="2" t="inlineStr">
        <is>
          <t>Crédito 2x</t>
        </is>
      </c>
      <c r="J8" s="2" t="inlineStr">
        <is>
          <t>Carlos Santos</t>
        </is>
      </c>
    </row>
    <row r="9">
      <c r="A9" s="7" t="n">
        <v>45993.61211248521</v>
      </c>
      <c r="B9" s="2" t="inlineStr">
        <is>
          <t>VND1207</t>
        </is>
      </c>
      <c r="C9" s="2" t="inlineStr">
        <is>
          <t>PRD009</t>
        </is>
      </c>
      <c r="D9" s="2" t="inlineStr">
        <is>
          <t>Body Manga Curta</t>
        </is>
      </c>
      <c r="E9" s="2" t="n">
        <v>4</v>
      </c>
      <c r="F9" s="3" t="n">
        <v>79.90000000000001</v>
      </c>
      <c r="G9" s="8" t="n">
        <v>0.05</v>
      </c>
      <c r="H9" s="3">
        <f>E9*F9*(1-G9)</f>
        <v/>
      </c>
      <c r="I9" s="2" t="inlineStr">
        <is>
          <t>Crédito à Vista</t>
        </is>
      </c>
      <c r="J9" s="2" t="inlineStr">
        <is>
          <t>Roberto Lima</t>
        </is>
      </c>
    </row>
    <row r="10">
      <c r="A10" s="7" t="n">
        <v>45994.61211248521</v>
      </c>
      <c r="B10" s="2" t="inlineStr">
        <is>
          <t>VND1208</t>
        </is>
      </c>
      <c r="C10" s="2" t="inlineStr">
        <is>
          <t>PRD012</t>
        </is>
      </c>
      <c r="D10" s="2" t="inlineStr">
        <is>
          <t>Vestido Longo Festa</t>
        </is>
      </c>
      <c r="E10" s="2" t="n">
        <v>5</v>
      </c>
      <c r="F10" s="3" t="n">
        <v>329.9</v>
      </c>
      <c r="G10" s="8" t="n">
        <v>0</v>
      </c>
      <c r="H10" s="3">
        <f>E10*F10*(1-G10)</f>
        <v/>
      </c>
      <c r="I10" s="2" t="inlineStr">
        <is>
          <t>Dinheiro</t>
        </is>
      </c>
      <c r="J10" s="2" t="inlineStr">
        <is>
          <t>Roberto Lima</t>
        </is>
      </c>
    </row>
    <row r="11">
      <c r="A11" s="7" t="n">
        <v>45995.61211248521</v>
      </c>
      <c r="B11" s="2" t="inlineStr">
        <is>
          <t>VND1209</t>
        </is>
      </c>
      <c r="C11" s="2" t="inlineStr">
        <is>
          <t>PRD010</t>
        </is>
      </c>
      <c r="D11" s="2" t="inlineStr">
        <is>
          <t>Calça Alfaiataria</t>
        </is>
      </c>
      <c r="E11" s="2" t="n">
        <v>3</v>
      </c>
      <c r="F11" s="3" t="n">
        <v>199.9</v>
      </c>
      <c r="G11" s="8" t="n">
        <v>0</v>
      </c>
      <c r="H11" s="3">
        <f>E11*F11*(1-G11)</f>
        <v/>
      </c>
      <c r="I11" s="2" t="inlineStr">
        <is>
          <t>Crédito à Vista</t>
        </is>
      </c>
      <c r="J11" s="2" t="inlineStr">
        <is>
          <t>Ana Silva</t>
        </is>
      </c>
    </row>
    <row r="12">
      <c r="A12" s="7" t="n">
        <v>45996.61211248521</v>
      </c>
      <c r="B12" s="2" t="inlineStr">
        <is>
          <t>VND1210</t>
        </is>
      </c>
      <c r="C12" s="2" t="inlineStr">
        <is>
          <t>PRD017</t>
        </is>
      </c>
      <c r="D12" s="2" t="inlineStr">
        <is>
          <t>Camisa Social Branca</t>
        </is>
      </c>
      <c r="E12" s="2" t="n">
        <v>1</v>
      </c>
      <c r="F12" s="3" t="n">
        <v>149.9</v>
      </c>
      <c r="G12" s="8" t="n">
        <v>0.05</v>
      </c>
      <c r="H12" s="3">
        <f>E12*F12*(1-G12)</f>
        <v/>
      </c>
      <c r="I12" s="2" t="inlineStr">
        <is>
          <t>Crédito à Vista</t>
        </is>
      </c>
      <c r="J12" s="2" t="inlineStr">
        <is>
          <t>Roberto Lima</t>
        </is>
      </c>
    </row>
    <row r="13">
      <c r="A13" s="7" t="n">
        <v>45997.61211248521</v>
      </c>
      <c r="B13" s="2" t="inlineStr">
        <is>
          <t>VND1211</t>
        </is>
      </c>
      <c r="C13" s="2" t="inlineStr">
        <is>
          <t>PRD019</t>
        </is>
      </c>
      <c r="D13" s="2" t="inlineStr">
        <is>
          <t>Legging Fitness</t>
        </is>
      </c>
      <c r="E13" s="2" t="n">
        <v>3</v>
      </c>
      <c r="F13" s="3" t="n">
        <v>99.90000000000001</v>
      </c>
      <c r="G13" s="8" t="n">
        <v>0</v>
      </c>
      <c r="H13" s="3">
        <f>E13*F13*(1-G13)</f>
        <v/>
      </c>
      <c r="I13" s="2" t="inlineStr">
        <is>
          <t>Crédito 2x</t>
        </is>
      </c>
      <c r="J13" s="2" t="inlineStr">
        <is>
          <t>Mariana Costa</t>
        </is>
      </c>
    </row>
    <row r="14">
      <c r="A14" s="7" t="n">
        <v>45998.61211248521</v>
      </c>
      <c r="B14" s="2" t="inlineStr">
        <is>
          <t>VND1212</t>
        </is>
      </c>
      <c r="C14" s="2" t="inlineStr">
        <is>
          <t>PRD019</t>
        </is>
      </c>
      <c r="D14" s="2" t="inlineStr">
        <is>
          <t>Legging Fitness</t>
        </is>
      </c>
      <c r="E14" s="2" t="n">
        <v>1</v>
      </c>
      <c r="F14" s="3" t="n">
        <v>99.90000000000001</v>
      </c>
      <c r="G14" s="8" t="n">
        <v>0.05</v>
      </c>
      <c r="H14" s="3">
        <f>E14*F14*(1-G14)</f>
        <v/>
      </c>
      <c r="I14" s="2" t="inlineStr">
        <is>
          <t>PIX</t>
        </is>
      </c>
      <c r="J14" s="2" t="inlineStr">
        <is>
          <t>Ana Silva</t>
        </is>
      </c>
    </row>
    <row r="15">
      <c r="A15" s="7" t="n">
        <v>45999.61211248521</v>
      </c>
      <c r="B15" s="2" t="inlineStr">
        <is>
          <t>VND1213</t>
        </is>
      </c>
      <c r="C15" s="2" t="inlineStr">
        <is>
          <t>PRD015</t>
        </is>
      </c>
      <c r="D15" s="2" t="inlineStr">
        <is>
          <t>Top Cropped</t>
        </is>
      </c>
      <c r="E15" s="2" t="n">
        <v>4</v>
      </c>
      <c r="F15" s="3" t="n">
        <v>69.90000000000001</v>
      </c>
      <c r="G15" s="8" t="n">
        <v>0</v>
      </c>
      <c r="H15" s="3">
        <f>E15*F15*(1-G15)</f>
        <v/>
      </c>
      <c r="I15" s="2" t="inlineStr">
        <is>
          <t>Crédito à Vista</t>
        </is>
      </c>
      <c r="J15" s="2" t="inlineStr">
        <is>
          <t>Roberto Lima</t>
        </is>
      </c>
    </row>
    <row r="16">
      <c r="A16" s="7" t="n">
        <v>46000.61211248521</v>
      </c>
      <c r="B16" s="2" t="inlineStr">
        <is>
          <t>VND1214</t>
        </is>
      </c>
      <c r="C16" s="2" t="inlineStr">
        <is>
          <t>PRD016</t>
        </is>
      </c>
      <c r="D16" s="2" t="inlineStr">
        <is>
          <t>Macaquinho Jeans</t>
        </is>
      </c>
      <c r="E16" s="2" t="n">
        <v>1</v>
      </c>
      <c r="F16" s="3" t="n">
        <v>189.9</v>
      </c>
      <c r="G16" s="8" t="n">
        <v>0.15</v>
      </c>
      <c r="H16" s="3">
        <f>E16*F16*(1-G16)</f>
        <v/>
      </c>
      <c r="I16" s="2" t="inlineStr">
        <is>
          <t>Crédito à Vista</t>
        </is>
      </c>
      <c r="J16" s="2" t="inlineStr">
        <is>
          <t>Mariana Costa</t>
        </is>
      </c>
    </row>
    <row r="17">
      <c r="A17" s="7" t="n">
        <v>46001.61211248521</v>
      </c>
      <c r="B17" s="2" t="inlineStr">
        <is>
          <t>VND1215</t>
        </is>
      </c>
      <c r="C17" s="2" t="inlineStr">
        <is>
          <t>PRD016</t>
        </is>
      </c>
      <c r="D17" s="2" t="inlineStr">
        <is>
          <t>Macaquinho Jeans</t>
        </is>
      </c>
      <c r="E17" s="2" t="n">
        <v>3</v>
      </c>
      <c r="F17" s="3" t="n">
        <v>189.9</v>
      </c>
      <c r="G17" s="8" t="n">
        <v>0</v>
      </c>
      <c r="H17" s="3">
        <f>E17*F17*(1-G17)</f>
        <v/>
      </c>
      <c r="I17" s="2" t="inlineStr">
        <is>
          <t>Crédito 2x</t>
        </is>
      </c>
      <c r="J17" s="2" t="inlineStr">
        <is>
          <t>Ana Silva</t>
        </is>
      </c>
    </row>
    <row r="18">
      <c r="A18" s="7" t="n">
        <v>46002.61211248521</v>
      </c>
      <c r="B18" s="2" t="inlineStr">
        <is>
          <t>VND1216</t>
        </is>
      </c>
      <c r="C18" s="2" t="inlineStr">
        <is>
          <t>PRD002</t>
        </is>
      </c>
      <c r="D18" s="2" t="inlineStr">
        <is>
          <t>Calça Jeans Skinny</t>
        </is>
      </c>
      <c r="E18" s="2" t="n">
        <v>5</v>
      </c>
      <c r="F18" s="3" t="n">
        <v>179.9</v>
      </c>
      <c r="G18" s="8" t="n">
        <v>0.1</v>
      </c>
      <c r="H18" s="3">
        <f>E18*F18*(1-G18)</f>
        <v/>
      </c>
      <c r="I18" s="2" t="inlineStr">
        <is>
          <t>Crédito à Vista</t>
        </is>
      </c>
      <c r="J18" s="2" t="inlineStr">
        <is>
          <t>Ana Silva</t>
        </is>
      </c>
    </row>
    <row r="19">
      <c r="A19" s="7" t="n">
        <v>46003.61211248521</v>
      </c>
      <c r="B19" s="2" t="inlineStr">
        <is>
          <t>VND1217</t>
        </is>
      </c>
      <c r="C19" s="2" t="inlineStr">
        <is>
          <t>PRD006</t>
        </is>
      </c>
      <c r="D19" s="2" t="inlineStr">
        <is>
          <t>Blusa Manga Longa</t>
        </is>
      </c>
      <c r="E19" s="2" t="n">
        <v>2</v>
      </c>
      <c r="F19" s="3" t="n">
        <v>109.9</v>
      </c>
      <c r="G19" s="8" t="n">
        <v>0.1</v>
      </c>
      <c r="H19" s="3">
        <f>E19*F19*(1-G19)</f>
        <v/>
      </c>
      <c r="I19" s="2" t="inlineStr">
        <is>
          <t>Crédito à Vista</t>
        </is>
      </c>
      <c r="J19" s="2" t="inlineStr">
        <is>
          <t>Roberto Lima</t>
        </is>
      </c>
    </row>
    <row r="20">
      <c r="A20" s="7" t="n">
        <v>46004.61211248521</v>
      </c>
      <c r="B20" s="2" t="inlineStr">
        <is>
          <t>VND1218</t>
        </is>
      </c>
      <c r="C20" s="2" t="inlineStr">
        <is>
          <t>PRD005</t>
        </is>
      </c>
      <c r="D20" s="2" t="inlineStr">
        <is>
          <t>Short Jeans Destroyed</t>
        </is>
      </c>
      <c r="E20" s="2" t="n">
        <v>5</v>
      </c>
      <c r="F20" s="3" t="n">
        <v>119.9</v>
      </c>
      <c r="G20" s="8" t="n">
        <v>0.1</v>
      </c>
      <c r="H20" s="3">
        <f>E20*F20*(1-G20)</f>
        <v/>
      </c>
      <c r="I20" s="2" t="inlineStr">
        <is>
          <t>Débito</t>
        </is>
      </c>
      <c r="J20" s="2" t="inlineStr">
        <is>
          <t>Ana Silva</t>
        </is>
      </c>
    </row>
    <row r="21">
      <c r="A21" s="7" t="n">
        <v>46005.61211248521</v>
      </c>
      <c r="B21" s="2" t="inlineStr">
        <is>
          <t>VND1219</t>
        </is>
      </c>
      <c r="C21" s="2" t="inlineStr">
        <is>
          <t>PRD007</t>
        </is>
      </c>
      <c r="D21" s="2" t="inlineStr">
        <is>
          <t>Saia Midi Plissada</t>
        </is>
      </c>
      <c r="E21" s="2" t="n">
        <v>3</v>
      </c>
      <c r="F21" s="3" t="n">
        <v>139.9</v>
      </c>
      <c r="G21" s="8" t="n">
        <v>0.15</v>
      </c>
      <c r="H21" s="3">
        <f>E21*F21*(1-G21)</f>
        <v/>
      </c>
      <c r="I21" s="2" t="inlineStr">
        <is>
          <t>Crédito 3x</t>
        </is>
      </c>
      <c r="J21" s="2" t="inlineStr">
        <is>
          <t>Roberto Lima</t>
        </is>
      </c>
    </row>
    <row r="22">
      <c r="A22" s="7" t="n">
        <v>46006.61211248521</v>
      </c>
      <c r="B22" s="2" t="inlineStr">
        <is>
          <t>VND1220</t>
        </is>
      </c>
      <c r="C22" s="2" t="inlineStr">
        <is>
          <t>PRD001</t>
        </is>
      </c>
      <c r="D22" s="2" t="inlineStr">
        <is>
          <t>Camiseta Básica Branca</t>
        </is>
      </c>
      <c r="E22" s="2" t="n">
        <v>5</v>
      </c>
      <c r="F22" s="3" t="n">
        <v>89.90000000000001</v>
      </c>
      <c r="G22" s="8" t="n">
        <v>0</v>
      </c>
      <c r="H22" s="3">
        <f>E22*F22*(1-G22)</f>
        <v/>
      </c>
      <c r="I22" s="2" t="inlineStr">
        <is>
          <t>Crédito 3x</t>
        </is>
      </c>
      <c r="J22" s="2" t="inlineStr">
        <is>
          <t>Roberto Lima</t>
        </is>
      </c>
    </row>
    <row r="23">
      <c r="A23" s="7" t="n">
        <v>46007.61211248521</v>
      </c>
      <c r="B23" s="2" t="inlineStr">
        <is>
          <t>VND1221</t>
        </is>
      </c>
      <c r="C23" s="2" t="inlineStr">
        <is>
          <t>PRD001</t>
        </is>
      </c>
      <c r="D23" s="2" t="inlineStr">
        <is>
          <t>Camiseta Básica Branca</t>
        </is>
      </c>
      <c r="E23" s="2" t="n">
        <v>3</v>
      </c>
      <c r="F23" s="3" t="n">
        <v>89.90000000000001</v>
      </c>
      <c r="G23" s="8" t="n">
        <v>0</v>
      </c>
      <c r="H23" s="3">
        <f>E23*F23*(1-G23)</f>
        <v/>
      </c>
      <c r="I23" s="2" t="inlineStr">
        <is>
          <t>Débito</t>
        </is>
      </c>
      <c r="J23" s="2" t="inlineStr">
        <is>
          <t>Mariana Costa</t>
        </is>
      </c>
    </row>
    <row r="24">
      <c r="A24" s="7" t="n">
        <v>46008.61211248521</v>
      </c>
      <c r="B24" s="2" t="inlineStr">
        <is>
          <t>VND1222</t>
        </is>
      </c>
      <c r="C24" s="2" t="inlineStr">
        <is>
          <t>PRD006</t>
        </is>
      </c>
      <c r="D24" s="2" t="inlineStr">
        <is>
          <t>Blusa Manga Longa</t>
        </is>
      </c>
      <c r="E24" s="2" t="n">
        <v>3</v>
      </c>
      <c r="F24" s="3" t="n">
        <v>109.9</v>
      </c>
      <c r="G24" s="8" t="n">
        <v>0</v>
      </c>
      <c r="H24" s="3">
        <f>E24*F24*(1-G24)</f>
        <v/>
      </c>
      <c r="I24" s="2" t="inlineStr">
        <is>
          <t>Débito</t>
        </is>
      </c>
      <c r="J24" s="2" t="inlineStr">
        <is>
          <t>Roberto Lima</t>
        </is>
      </c>
    </row>
    <row r="25">
      <c r="A25" s="7" t="n">
        <v>46009.61211248521</v>
      </c>
      <c r="B25" s="2" t="inlineStr">
        <is>
          <t>VND1223</t>
        </is>
      </c>
      <c r="C25" s="2" t="inlineStr">
        <is>
          <t>PRD018</t>
        </is>
      </c>
      <c r="D25" s="2" t="inlineStr">
        <is>
          <t>Conjunto Moletom</t>
        </is>
      </c>
      <c r="E25" s="2" t="n">
        <v>5</v>
      </c>
      <c r="F25" s="3" t="n">
        <v>249.9</v>
      </c>
      <c r="G25" s="8" t="n">
        <v>0</v>
      </c>
      <c r="H25" s="3">
        <f>E25*F25*(1-G25)</f>
        <v/>
      </c>
      <c r="I25" s="2" t="inlineStr">
        <is>
          <t>PIX</t>
        </is>
      </c>
      <c r="J25" s="2" t="inlineStr">
        <is>
          <t>Juliana Oliveira</t>
        </is>
      </c>
    </row>
    <row r="26">
      <c r="A26" s="7" t="n">
        <v>46010.61211248521</v>
      </c>
      <c r="B26" s="2" t="inlineStr">
        <is>
          <t>VND1224</t>
        </is>
      </c>
      <c r="C26" s="2" t="inlineStr">
        <is>
          <t>PRD008</t>
        </is>
      </c>
      <c r="D26" s="2" t="inlineStr">
        <is>
          <t>Jaqueta Jeans</t>
        </is>
      </c>
      <c r="E26" s="2" t="n">
        <v>5</v>
      </c>
      <c r="F26" s="3" t="n">
        <v>219.9</v>
      </c>
      <c r="G26" s="8" t="n">
        <v>0.05</v>
      </c>
      <c r="H26" s="3">
        <f>E26*F26*(1-G26)</f>
        <v/>
      </c>
      <c r="I26" s="2" t="inlineStr">
        <is>
          <t>Crédito 3x</t>
        </is>
      </c>
      <c r="J26" s="2" t="inlineStr">
        <is>
          <t>Mariana Costa</t>
        </is>
      </c>
    </row>
    <row r="27">
      <c r="D27" s="5" t="inlineStr">
        <is>
          <t>TOTAL DE VENDAS</t>
        </is>
      </c>
      <c r="H27" s="6">
        <f>SOMA(H2:H26)</f>
        <v/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0" customWidth="1" min="4" max="4"/>
    <col width="3" customWidth="1" min="5" max="5"/>
    <col width="25" customWidth="1" min="6" max="6"/>
  </cols>
  <sheetData>
    <row r="1" ht="30" customHeight="1">
      <c r="A1" s="9" t="inlineStr">
        <is>
          <t>DASHBOARD - LOJA DE ROUPAS</t>
        </is>
      </c>
    </row>
    <row r="3">
      <c r="A3" s="10" t="inlineStr">
        <is>
          <t>Indicador</t>
        </is>
      </c>
      <c r="B3" s="10" t="inlineStr">
        <is>
          <t>Valor</t>
        </is>
      </c>
      <c r="C3" s="10" t="inlineStr">
        <is>
          <t>Meta</t>
        </is>
      </c>
      <c r="D3" s="10" t="inlineStr">
        <is>
          <t>Status</t>
        </is>
      </c>
    </row>
    <row r="4">
      <c r="A4" s="11" t="inlineStr">
        <is>
          <t>Total em Estoque (R$)</t>
        </is>
      </c>
      <c r="B4" s="3">
        <f>SOMA('Estoque de Produtos'!I2:I21)</f>
        <v/>
      </c>
      <c r="C4" s="3" t="n">
        <v>150000</v>
      </c>
      <c r="D4" s="2">
        <f>SE(B4&gt;=C4;"✓";"⚠")</f>
        <v/>
      </c>
    </row>
    <row r="5">
      <c r="A5" s="11" t="inlineStr">
        <is>
          <t>Total de Vendas (R$)</t>
        </is>
      </c>
      <c r="B5" s="3">
        <f>SOMA('Vendas Diárias'!H2:H26)</f>
        <v/>
      </c>
      <c r="C5" s="3" t="n">
        <v>50000</v>
      </c>
      <c r="D5" s="2">
        <f>SE(B5&gt;=C5;"✓";"⚠")</f>
        <v/>
      </c>
    </row>
    <row r="6">
      <c r="A6" s="11" t="inlineStr">
        <is>
          <t>Ticket Médio (R$)</t>
        </is>
      </c>
      <c r="B6" s="3">
        <f>MÉDIA('Vendas Diárias'!H2:H26)</f>
        <v/>
      </c>
      <c r="C6" s="3" t="n">
        <v>300</v>
      </c>
      <c r="D6" s="2">
        <f>SE(B6&gt;=C6;"✓";"⚠")</f>
        <v/>
      </c>
    </row>
    <row r="7">
      <c r="A7" s="11" t="inlineStr">
        <is>
          <t>Produtos em Estoque</t>
        </is>
      </c>
      <c r="B7" s="3">
        <f>CONT.VALORES('Estoque de Produtos'!A2:A21)</f>
        <v/>
      </c>
      <c r="C7" s="3" t="n">
        <v>20</v>
      </c>
      <c r="D7" s="2">
        <f>SE(B7&gt;=C7;"✓";"⚠")</f>
        <v/>
      </c>
    </row>
    <row r="8">
      <c r="A8" s="11" t="inlineStr">
        <is>
          <t>Total de Vendas</t>
        </is>
      </c>
      <c r="B8" s="3">
        <f>CONT.VALORES('Vendas Diárias'!B2:B26)</f>
        <v/>
      </c>
      <c r="C8" s="3" t="n">
        <v>30</v>
      </c>
      <c r="D8" s="2">
        <f>SE(B8&gt;=C8;"✓";"⚠")</f>
        <v/>
      </c>
    </row>
    <row r="11">
      <c r="A11" s="12" t="inlineStr">
        <is>
          <t>Categoria</t>
        </is>
      </c>
      <c r="B11" s="12" t="inlineStr">
        <is>
          <t>Quantidade</t>
        </is>
      </c>
    </row>
    <row r="12">
      <c r="A12" t="inlineStr">
        <is>
          <t>Blazers</t>
        </is>
      </c>
      <c r="B12" t="n">
        <v>43</v>
      </c>
    </row>
    <row r="13">
      <c r="A13" t="inlineStr">
        <is>
          <t>Blusas</t>
        </is>
      </c>
      <c r="B13" t="n">
        <v>118</v>
      </c>
    </row>
    <row r="14">
      <c r="A14" t="inlineStr">
        <is>
          <t>Bodies</t>
        </is>
      </c>
      <c r="B14" t="n">
        <v>134</v>
      </c>
    </row>
    <row r="15">
      <c r="A15" t="inlineStr">
        <is>
          <t>Calças</t>
        </is>
      </c>
      <c r="B15" t="n">
        <v>146</v>
      </c>
    </row>
    <row r="16">
      <c r="A16" t="inlineStr">
        <is>
          <t>Camisas</t>
        </is>
      </c>
      <c r="B16" t="n">
        <v>96</v>
      </c>
    </row>
    <row r="17">
      <c r="A17" t="inlineStr">
        <is>
          <t>Camisetas</t>
        </is>
      </c>
      <c r="B17" t="n">
        <v>299</v>
      </c>
    </row>
    <row r="18">
      <c r="A18" t="inlineStr">
        <is>
          <t>Casacos</t>
        </is>
      </c>
      <c r="B18" t="n">
        <v>67</v>
      </c>
    </row>
    <row r="19">
      <c r="A19" t="inlineStr">
        <is>
          <t>Conjuntos</t>
        </is>
      </c>
      <c r="B19" t="n">
        <v>52</v>
      </c>
    </row>
    <row r="20">
      <c r="A20" t="inlineStr">
        <is>
          <t>Fitness</t>
        </is>
      </c>
      <c r="B20" t="n">
        <v>124</v>
      </c>
    </row>
    <row r="21">
      <c r="A21" t="inlineStr">
        <is>
          <t>Jaquetas</t>
        </is>
      </c>
      <c r="B21" t="n">
        <v>54</v>
      </c>
    </row>
    <row r="22">
      <c r="A22" t="inlineStr">
        <is>
          <t>Kimonos</t>
        </is>
      </c>
      <c r="B22" t="n">
        <v>38</v>
      </c>
    </row>
    <row r="23">
      <c r="A23" t="inlineStr">
        <is>
          <t>Macacões</t>
        </is>
      </c>
      <c r="B23" t="n">
        <v>45</v>
      </c>
    </row>
    <row r="24">
      <c r="A24" t="inlineStr">
        <is>
          <t>Saias</t>
        </is>
      </c>
      <c r="B24" t="n">
        <v>71</v>
      </c>
    </row>
    <row r="25">
      <c r="A25" t="inlineStr">
        <is>
          <t>Shorts</t>
        </is>
      </c>
      <c r="B25" t="n">
        <v>173</v>
      </c>
    </row>
    <row r="26">
      <c r="A26" t="inlineStr">
        <is>
          <t>Tops</t>
        </is>
      </c>
      <c r="B26" t="n">
        <v>167</v>
      </c>
    </row>
    <row r="27">
      <c r="A27" t="inlineStr">
        <is>
          <t>Vestidos</t>
        </is>
      </c>
      <c r="B27" t="n">
        <v>92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2025-12-15T13:41:26Z</dcterms:created>
  <dcterms:modified xsi:type="dcterms:W3CDTF">2025-12-15T13:41:26Z</dcterms:modified>
</cp:coreProperties>
</file>
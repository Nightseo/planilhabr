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 de Pagamento" sheetId="1" state="visible" r:id="rId1"/>
    <sheet name="Resumo por Departamento" sheetId="2" state="visible" r:id="rId2"/>
    <sheet name="Custos Trabalhistas" sheetId="3" state="visible" r:id="rId3"/>
  </sheets>
  <definedNames>
    <definedName name="_xlnm._FilterDatabase" localSheetId="0" hidden="1">'Folha de Pagamento'!$A$2:$K$22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0" fontId="4" fillId="4" borderId="2" pivotButton="0" quotePrefix="0" xfId="0"/>
    <xf numFmtId="164" fontId="4" fillId="4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de Salários por Departamento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Departamento'!D2</f>
            </strRef>
          </tx>
          <spPr>
            <a:ln>
              <a:prstDash val="solid"/>
            </a:ln>
          </spPr>
          <cat>
            <numRef>
              <f>'Resumo por Departamento'!$A$3:$A$15</f>
            </numRef>
          </cat>
          <val>
            <numRef>
              <f>'Resumo por Departamento'!$D$3:$D$15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dos Custos Trabalhistas</a:t>
            </a:r>
          </a:p>
        </rich>
      </tx>
    </title>
    <plotArea>
      <pieChart>
        <varyColors val="1"/>
        <ser>
          <idx val="0"/>
          <order val="0"/>
          <tx>
            <strRef>
              <f>'Custos Trabalhistas'!B2</f>
            </strRef>
          </tx>
          <spPr>
            <a:ln>
              <a:prstDash val="solid"/>
            </a:ln>
          </spPr>
          <cat>
            <numRef>
              <f>'Custos Trabalhistas'!$A$3:$A$9</f>
            </numRef>
          </cat>
          <val>
            <numRef>
              <f>'Custos Trabalhistas'!$B$3:$B$9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0" customHeight="1">
      <c r="A1" s="1" t="inlineStr">
        <is>
          <t>FOLHA DE PAGAMENTO - DECEMBER 2025</t>
        </is>
      </c>
    </row>
    <row r="2" ht="35" customHeight="1">
      <c r="A2" s="2" t="inlineStr">
        <is>
          <t>ID</t>
        </is>
      </c>
      <c r="B2" s="2" t="inlineStr">
        <is>
          <t>Nome Completo</t>
        </is>
      </c>
      <c r="C2" s="2" t="inlineStr">
        <is>
          <t>Cargo</t>
        </is>
      </c>
      <c r="D2" s="2" t="inlineStr">
        <is>
          <t>Departamento</t>
        </is>
      </c>
      <c r="E2" s="2" t="inlineStr">
        <is>
          <t>Salário Base</t>
        </is>
      </c>
      <c r="F2" s="2" t="inlineStr">
        <is>
          <t>Vale Transporte</t>
        </is>
      </c>
      <c r="G2" s="2" t="inlineStr">
        <is>
          <t>Vale Refeição</t>
        </is>
      </c>
      <c r="H2" s="2" t="inlineStr">
        <is>
          <t>INSS (11%)</t>
        </is>
      </c>
      <c r="I2" s="2" t="inlineStr">
        <is>
          <t>IRRF</t>
        </is>
      </c>
      <c r="J2" s="2" t="inlineStr">
        <is>
          <t>Total Descontos</t>
        </is>
      </c>
      <c r="K2" s="2" t="inlineStr">
        <is>
          <t>Salário Líquido</t>
        </is>
      </c>
    </row>
    <row r="3">
      <c r="A3" s="3" t="n">
        <v>1</v>
      </c>
      <c r="B3" s="3" t="inlineStr">
        <is>
          <t>Carlos Silva Santos</t>
        </is>
      </c>
      <c r="C3" s="3" t="inlineStr">
        <is>
          <t>Gerente de Vendas</t>
        </is>
      </c>
      <c r="D3" s="3" t="inlineStr">
        <is>
          <t>Vendas</t>
        </is>
      </c>
      <c r="E3" s="4" t="n">
        <v>8500</v>
      </c>
      <c r="F3" s="4" t="n">
        <v>510</v>
      </c>
      <c r="G3" s="4" t="n">
        <v>28.5</v>
      </c>
      <c r="H3" s="4" t="n">
        <v>935</v>
      </c>
      <c r="I3" s="4" t="n">
        <v>1452.54</v>
      </c>
      <c r="J3" s="4">
        <f>F3+G3+H3+I3</f>
        <v/>
      </c>
      <c r="K3" s="4">
        <f>E3-J3</f>
        <v/>
      </c>
    </row>
    <row r="4">
      <c r="A4" s="3" t="n">
        <v>2</v>
      </c>
      <c r="B4" s="3" t="inlineStr">
        <is>
          <t>Maria Oliveira Costa</t>
        </is>
      </c>
      <c r="C4" s="3" t="inlineStr">
        <is>
          <t>Analista Financeiro</t>
        </is>
      </c>
      <c r="D4" s="3" t="inlineStr">
        <is>
          <t>Financeiro</t>
        </is>
      </c>
      <c r="E4" s="4" t="n">
        <v>5200</v>
      </c>
      <c r="F4" s="4" t="n">
        <v>312</v>
      </c>
      <c r="G4" s="4" t="n">
        <v>28.5</v>
      </c>
      <c r="H4" s="4" t="n">
        <v>572</v>
      </c>
      <c r="I4" s="4" t="n">
        <v>545.04</v>
      </c>
      <c r="J4" s="4">
        <f>F4+G4+H4+I4</f>
        <v/>
      </c>
      <c r="K4" s="4">
        <f>E4-J4</f>
        <v/>
      </c>
    </row>
    <row r="5">
      <c r="A5" s="3" t="n">
        <v>3</v>
      </c>
      <c r="B5" s="3" t="inlineStr">
        <is>
          <t>João Pereira Lima</t>
        </is>
      </c>
      <c r="C5" s="3" t="inlineStr">
        <is>
          <t>Assistente Administrativo</t>
        </is>
      </c>
      <c r="D5" s="3" t="inlineStr">
        <is>
          <t>Administrativo</t>
        </is>
      </c>
      <c r="E5" s="4" t="n">
        <v>3100</v>
      </c>
      <c r="F5" s="4" t="n">
        <v>186</v>
      </c>
      <c r="G5" s="4" t="n">
        <v>28.5</v>
      </c>
      <c r="H5" s="4" t="n">
        <v>341</v>
      </c>
      <c r="I5" s="4" t="n">
        <v>94.59999999999999</v>
      </c>
      <c r="J5" s="4">
        <f>F5+G5+H5+I5</f>
        <v/>
      </c>
      <c r="K5" s="4">
        <f>E5-J5</f>
        <v/>
      </c>
    </row>
    <row r="6">
      <c r="A6" s="3" t="n">
        <v>4</v>
      </c>
      <c r="B6" s="3" t="inlineStr">
        <is>
          <t>Ana Souza Rodrigues</t>
        </is>
      </c>
      <c r="C6" s="3" t="inlineStr">
        <is>
          <t>Coordenador de Marketing</t>
        </is>
      </c>
      <c r="D6" s="3" t="inlineStr">
        <is>
          <t>Marketing</t>
        </is>
      </c>
      <c r="E6" s="4" t="n">
        <v>7200</v>
      </c>
      <c r="F6" s="4" t="n">
        <v>432</v>
      </c>
      <c r="G6" s="4" t="n">
        <v>28.5</v>
      </c>
      <c r="H6" s="4" t="n">
        <v>792</v>
      </c>
      <c r="I6" s="4" t="n">
        <v>1095.04</v>
      </c>
      <c r="J6" s="4">
        <f>F6+G6+H6+I6</f>
        <v/>
      </c>
      <c r="K6" s="4">
        <f>E6-J6</f>
        <v/>
      </c>
    </row>
    <row r="7">
      <c r="A7" s="3" t="n">
        <v>5</v>
      </c>
      <c r="B7" s="3" t="inlineStr">
        <is>
          <t>Pedro Almeida Fernandes</t>
        </is>
      </c>
      <c r="C7" s="3" t="inlineStr">
        <is>
          <t>Desenvolvedor Pleno</t>
        </is>
      </c>
      <c r="D7" s="3" t="inlineStr">
        <is>
          <t>TI</t>
        </is>
      </c>
      <c r="E7" s="4" t="n">
        <v>6800</v>
      </c>
      <c r="F7" s="4" t="n">
        <v>408</v>
      </c>
      <c r="G7" s="4" t="n">
        <v>28.5</v>
      </c>
      <c r="H7" s="4" t="n">
        <v>748</v>
      </c>
      <c r="I7" s="4" t="n">
        <v>985.04</v>
      </c>
      <c r="J7" s="4">
        <f>F7+G7+H7+I7</f>
        <v/>
      </c>
      <c r="K7" s="4">
        <f>E7-J7</f>
        <v/>
      </c>
    </row>
    <row r="8">
      <c r="A8" s="3" t="n">
        <v>6</v>
      </c>
      <c r="B8" s="3" t="inlineStr">
        <is>
          <t>Juliana Santos Ribeiro</t>
        </is>
      </c>
      <c r="C8" s="3" t="inlineStr">
        <is>
          <t>Analista de RH</t>
        </is>
      </c>
      <c r="D8" s="3" t="inlineStr">
        <is>
          <t>RH</t>
        </is>
      </c>
      <c r="E8" s="4" t="n">
        <v>4800</v>
      </c>
      <c r="F8" s="4" t="n">
        <v>288</v>
      </c>
      <c r="G8" s="4" t="n">
        <v>28.5</v>
      </c>
      <c r="H8" s="4" t="n">
        <v>528</v>
      </c>
      <c r="I8" s="4" t="n">
        <v>435.04</v>
      </c>
      <c r="J8" s="4">
        <f>F8+G8+H8+I8</f>
        <v/>
      </c>
      <c r="K8" s="4">
        <f>E8-J8</f>
        <v/>
      </c>
    </row>
    <row r="9">
      <c r="A9" s="3" t="n">
        <v>7</v>
      </c>
      <c r="B9" s="3" t="inlineStr">
        <is>
          <t>Ricardo Carvalho Martins</t>
        </is>
      </c>
      <c r="C9" s="3" t="inlineStr">
        <is>
          <t>Supervisor de Produção</t>
        </is>
      </c>
      <c r="D9" s="3" t="inlineStr">
        <is>
          <t>Produção</t>
        </is>
      </c>
      <c r="E9" s="4" t="n">
        <v>5900</v>
      </c>
      <c r="F9" s="4" t="n">
        <v>354</v>
      </c>
      <c r="G9" s="4" t="n">
        <v>28.5</v>
      </c>
      <c r="H9" s="4" t="n">
        <v>649</v>
      </c>
      <c r="I9" s="4" t="n">
        <v>737.54</v>
      </c>
      <c r="J9" s="4">
        <f>F9+G9+H9+I9</f>
        <v/>
      </c>
      <c r="K9" s="4">
        <f>E9-J9</f>
        <v/>
      </c>
    </row>
    <row r="10">
      <c r="A10" s="3" t="n">
        <v>8</v>
      </c>
      <c r="B10" s="3" t="inlineStr">
        <is>
          <t>Fernanda Costa Alves</t>
        </is>
      </c>
      <c r="C10" s="3" t="inlineStr">
        <is>
          <t>Designer Gráfico</t>
        </is>
      </c>
      <c r="D10" s="3" t="inlineStr">
        <is>
          <t>Marketing</t>
        </is>
      </c>
      <c r="E10" s="4" t="n">
        <v>4200</v>
      </c>
      <c r="F10" s="4" t="n">
        <v>252</v>
      </c>
      <c r="G10" s="4" t="n">
        <v>28.5</v>
      </c>
      <c r="H10" s="4" t="n">
        <v>462</v>
      </c>
      <c r="I10" s="4" t="n">
        <v>293.27</v>
      </c>
      <c r="J10" s="4">
        <f>F10+G10+H10+I10</f>
        <v/>
      </c>
      <c r="K10" s="4">
        <f>E10-J10</f>
        <v/>
      </c>
    </row>
    <row r="11">
      <c r="A11" s="3" t="n">
        <v>9</v>
      </c>
      <c r="B11" s="3" t="inlineStr">
        <is>
          <t>Roberto Lima Ferreira</t>
        </is>
      </c>
      <c r="C11" s="3" t="inlineStr">
        <is>
          <t>Contador</t>
        </is>
      </c>
      <c r="D11" s="3" t="inlineStr">
        <is>
          <t>Financeiro</t>
        </is>
      </c>
      <c r="E11" s="4" t="n">
        <v>6200</v>
      </c>
      <c r="F11" s="4" t="n">
        <v>372</v>
      </c>
      <c r="G11" s="4" t="n">
        <v>28.5</v>
      </c>
      <c r="H11" s="4" t="n">
        <v>682</v>
      </c>
      <c r="I11" s="4" t="n">
        <v>820.04</v>
      </c>
      <c r="J11" s="4">
        <f>F11+G11+H11+I11</f>
        <v/>
      </c>
      <c r="K11" s="4">
        <f>E11-J11</f>
        <v/>
      </c>
    </row>
    <row r="12">
      <c r="A12" s="3" t="n">
        <v>10</v>
      </c>
      <c r="B12" s="3" t="inlineStr">
        <is>
          <t>Patrícia Rodrigues Gomes</t>
        </is>
      </c>
      <c r="C12" s="3" t="inlineStr">
        <is>
          <t>Assistente Contábil</t>
        </is>
      </c>
      <c r="D12" s="3" t="inlineStr">
        <is>
          <t>Contabilidade</t>
        </is>
      </c>
      <c r="E12" s="4" t="n">
        <v>3400</v>
      </c>
      <c r="F12" s="4" t="n">
        <v>204</v>
      </c>
      <c r="G12" s="4" t="n">
        <v>28.5</v>
      </c>
      <c r="H12" s="4" t="n">
        <v>374</v>
      </c>
      <c r="I12" s="4" t="n">
        <v>139.6</v>
      </c>
      <c r="J12" s="4">
        <f>F12+G12+H12+I12</f>
        <v/>
      </c>
      <c r="K12" s="4">
        <f>E12-J12</f>
        <v/>
      </c>
    </row>
    <row r="13">
      <c r="A13" s="3" t="n">
        <v>11</v>
      </c>
      <c r="B13" s="3" t="inlineStr">
        <is>
          <t>Lucas Fernandes Dias</t>
        </is>
      </c>
      <c r="C13" s="3" t="inlineStr">
        <is>
          <t>Analista de TI</t>
        </is>
      </c>
      <c r="D13" s="3" t="inlineStr">
        <is>
          <t>TI</t>
        </is>
      </c>
      <c r="E13" s="4" t="n">
        <v>6500</v>
      </c>
      <c r="F13" s="4" t="n">
        <v>390</v>
      </c>
      <c r="G13" s="4" t="n">
        <v>28.5</v>
      </c>
      <c r="H13" s="4" t="n">
        <v>715</v>
      </c>
      <c r="I13" s="4" t="n">
        <v>902.54</v>
      </c>
      <c r="J13" s="4">
        <f>F13+G13+H13+I13</f>
        <v/>
      </c>
      <c r="K13" s="4">
        <f>E13-J13</f>
        <v/>
      </c>
    </row>
    <row r="14">
      <c r="A14" s="3" t="n">
        <v>12</v>
      </c>
      <c r="B14" s="3" t="inlineStr">
        <is>
          <t>Camila Alves Monteiro</t>
        </is>
      </c>
      <c r="C14" s="3" t="inlineStr">
        <is>
          <t>Auxiliar de Logística</t>
        </is>
      </c>
      <c r="D14" s="3" t="inlineStr">
        <is>
          <t>Logística</t>
        </is>
      </c>
      <c r="E14" s="4" t="n">
        <v>2900</v>
      </c>
      <c r="F14" s="4" t="n">
        <v>174</v>
      </c>
      <c r="G14" s="4" t="n">
        <v>28.5</v>
      </c>
      <c r="H14" s="4" t="n">
        <v>319</v>
      </c>
      <c r="I14" s="4" t="n">
        <v>64.59999999999999</v>
      </c>
      <c r="J14" s="4">
        <f>F14+G14+H14+I14</f>
        <v/>
      </c>
      <c r="K14" s="4">
        <f>E14-J14</f>
        <v/>
      </c>
    </row>
    <row r="15">
      <c r="A15" s="3" t="n">
        <v>13</v>
      </c>
      <c r="B15" s="3" t="inlineStr">
        <is>
          <t>Bruno Martins Barbosa</t>
        </is>
      </c>
      <c r="C15" s="3" t="inlineStr">
        <is>
          <t>Gerente de Operações</t>
        </is>
      </c>
      <c r="D15" s="3" t="inlineStr">
        <is>
          <t>Operações</t>
        </is>
      </c>
      <c r="E15" s="4" t="n">
        <v>9200</v>
      </c>
      <c r="F15" s="4" t="n">
        <v>552</v>
      </c>
      <c r="G15" s="4" t="n">
        <v>28.5</v>
      </c>
      <c r="H15" s="4" t="n">
        <v>1012</v>
      </c>
      <c r="I15" s="4" t="n">
        <v>1645.04</v>
      </c>
      <c r="J15" s="4">
        <f>F15+G15+H15+I15</f>
        <v/>
      </c>
      <c r="K15" s="4">
        <f>E15-J15</f>
        <v/>
      </c>
    </row>
    <row r="16">
      <c r="A16" s="3" t="n">
        <v>14</v>
      </c>
      <c r="B16" s="3" t="inlineStr">
        <is>
          <t>Beatriz Ribeiro Castro</t>
        </is>
      </c>
      <c r="C16" s="3" t="inlineStr">
        <is>
          <t>Recepcionista</t>
        </is>
      </c>
      <c r="D16" s="3" t="inlineStr">
        <is>
          <t>Administrativo</t>
        </is>
      </c>
      <c r="E16" s="4" t="n">
        <v>2600</v>
      </c>
      <c r="F16" s="4" t="n">
        <v>156</v>
      </c>
      <c r="G16" s="4" t="n">
        <v>28.5</v>
      </c>
      <c r="H16" s="4" t="n">
        <v>286</v>
      </c>
      <c r="I16" s="4" t="n">
        <v>36.6</v>
      </c>
      <c r="J16" s="4">
        <f>F16+G16+H16+I16</f>
        <v/>
      </c>
      <c r="K16" s="4">
        <f>E16-J16</f>
        <v/>
      </c>
    </row>
    <row r="17">
      <c r="A17" s="3" t="n">
        <v>15</v>
      </c>
      <c r="B17" s="3" t="inlineStr">
        <is>
          <t>Gustavo Gomes Araújo</t>
        </is>
      </c>
      <c r="C17" s="3" t="inlineStr">
        <is>
          <t>Técnico de Suporte</t>
        </is>
      </c>
      <c r="D17" s="3" t="inlineStr">
        <is>
          <t>TI</t>
        </is>
      </c>
      <c r="E17" s="4" t="n">
        <v>3800</v>
      </c>
      <c r="F17" s="4" t="n">
        <v>228</v>
      </c>
      <c r="G17" s="4" t="n">
        <v>28.5</v>
      </c>
      <c r="H17" s="4" t="n">
        <v>418</v>
      </c>
      <c r="I17" s="4" t="n">
        <v>203.27</v>
      </c>
      <c r="J17" s="4">
        <f>F17+G17+H17+I17</f>
        <v/>
      </c>
      <c r="K17" s="4">
        <f>E17-J17</f>
        <v/>
      </c>
    </row>
    <row r="18">
      <c r="A18" s="3" t="n">
        <v>16</v>
      </c>
      <c r="B18" s="3" t="inlineStr">
        <is>
          <t>Larissa Dias Cardoso</t>
        </is>
      </c>
      <c r="C18" s="3" t="inlineStr">
        <is>
          <t>Analista de Qualidade</t>
        </is>
      </c>
      <c r="D18" s="3" t="inlineStr">
        <is>
          <t>Qualidade</t>
        </is>
      </c>
      <c r="E18" s="4" t="n">
        <v>5400</v>
      </c>
      <c r="F18" s="4" t="n">
        <v>324</v>
      </c>
      <c r="G18" s="4" t="n">
        <v>28.5</v>
      </c>
      <c r="H18" s="4" t="n">
        <v>594</v>
      </c>
      <c r="I18" s="4" t="n">
        <v>600.04</v>
      </c>
      <c r="J18" s="4">
        <f>F18+G18+H18+I18</f>
        <v/>
      </c>
      <c r="K18" s="4">
        <f>E18-J18</f>
        <v/>
      </c>
    </row>
    <row r="19">
      <c r="A19" s="3" t="n">
        <v>17</v>
      </c>
      <c r="B19" s="3" t="inlineStr">
        <is>
          <t>Rafael Monteiro Soares</t>
        </is>
      </c>
      <c r="C19" s="3" t="inlineStr">
        <is>
          <t>Assistente de Compras</t>
        </is>
      </c>
      <c r="D19" s="3" t="inlineStr">
        <is>
          <t>Compras</t>
        </is>
      </c>
      <c r="E19" s="4" t="n">
        <v>3200</v>
      </c>
      <c r="F19" s="4" t="n">
        <v>192</v>
      </c>
      <c r="G19" s="4" t="n">
        <v>28.5</v>
      </c>
      <c r="H19" s="4" t="n">
        <v>352</v>
      </c>
      <c r="I19" s="4" t="n">
        <v>109.6</v>
      </c>
      <c r="J19" s="4">
        <f>F19+G19+H19+I19</f>
        <v/>
      </c>
      <c r="K19" s="4">
        <f>E19-J19</f>
        <v/>
      </c>
    </row>
    <row r="20">
      <c r="A20" s="3" t="n">
        <v>18</v>
      </c>
      <c r="B20" s="3" t="inlineStr">
        <is>
          <t>Mariana Barbosa Pinto</t>
        </is>
      </c>
      <c r="C20" s="3" t="inlineStr">
        <is>
          <t>Coordenador Comercial</t>
        </is>
      </c>
      <c r="D20" s="3" t="inlineStr">
        <is>
          <t>Comercial</t>
        </is>
      </c>
      <c r="E20" s="4" t="n">
        <v>7800</v>
      </c>
      <c r="F20" s="4" t="n">
        <v>468</v>
      </c>
      <c r="G20" s="4" t="n">
        <v>28.5</v>
      </c>
      <c r="H20" s="4" t="n">
        <v>858</v>
      </c>
      <c r="I20" s="4" t="n">
        <v>1260.04</v>
      </c>
      <c r="J20" s="4">
        <f>F20+G20+H20+I20</f>
        <v/>
      </c>
      <c r="K20" s="4">
        <f>E20-J20</f>
        <v/>
      </c>
    </row>
    <row r="21">
      <c r="A21" s="3" t="n">
        <v>19</v>
      </c>
      <c r="B21" s="3" t="inlineStr">
        <is>
          <t>Thiago Castro Freitas</t>
        </is>
      </c>
      <c r="C21" s="3" t="inlineStr">
        <is>
          <t>Auxiliar Financeiro</t>
        </is>
      </c>
      <c r="D21" s="3" t="inlineStr">
        <is>
          <t>Financeiro</t>
        </is>
      </c>
      <c r="E21" s="4" t="n">
        <v>2800</v>
      </c>
      <c r="F21" s="4" t="n">
        <v>168</v>
      </c>
      <c r="G21" s="4" t="n">
        <v>28.5</v>
      </c>
      <c r="H21" s="4" t="n">
        <v>308</v>
      </c>
      <c r="I21" s="4" t="n">
        <v>51.6</v>
      </c>
      <c r="J21" s="4">
        <f>F21+G21+H21+I21</f>
        <v/>
      </c>
      <c r="K21" s="4">
        <f>E21-J21</f>
        <v/>
      </c>
    </row>
    <row r="22">
      <c r="A22" s="3" t="n">
        <v>20</v>
      </c>
      <c r="B22" s="3" t="inlineStr">
        <is>
          <t>Amanda Araújo Cunha</t>
        </is>
      </c>
      <c r="C22" s="3" t="inlineStr">
        <is>
          <t>Especialista em Marketing Digital</t>
        </is>
      </c>
      <c r="D22" s="3" t="inlineStr">
        <is>
          <t>Marketing</t>
        </is>
      </c>
      <c r="E22" s="4" t="n">
        <v>7500</v>
      </c>
      <c r="F22" s="4" t="n">
        <v>450</v>
      </c>
      <c r="G22" s="4" t="n">
        <v>28.5</v>
      </c>
      <c r="H22" s="4" t="n">
        <v>825</v>
      </c>
      <c r="I22" s="4" t="n">
        <v>1177.54</v>
      </c>
      <c r="J22" s="4">
        <f>F22+G22+H22+I22</f>
        <v/>
      </c>
      <c r="K22" s="4">
        <f>E22-J22</f>
        <v/>
      </c>
    </row>
    <row r="23">
      <c r="D23" s="5" t="inlineStr">
        <is>
          <t>TOTAIS:</t>
        </is>
      </c>
      <c r="E23" s="6">
        <f>SUM(E3:E22)</f>
        <v/>
      </c>
      <c r="F23" s="6">
        <f>SUM(F3:F22)</f>
        <v/>
      </c>
      <c r="G23" s="6">
        <f>SUM(G3:G22)</f>
        <v/>
      </c>
      <c r="H23" s="6">
        <f>SUM(H3:H22)</f>
        <v/>
      </c>
      <c r="I23" s="6">
        <f>SUM(I3:I22)</f>
        <v/>
      </c>
      <c r="J23" s="6">
        <f>SUM(J3:J22)</f>
        <v/>
      </c>
      <c r="K23" s="6">
        <f>SUM(K3:K22)</f>
        <v/>
      </c>
    </row>
  </sheetData>
  <autoFilter ref="A2:K2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ANÁLISE SALARIAL POR DEPARTAMENTO</t>
        </is>
      </c>
    </row>
    <row r="2" ht="25" customHeight="1">
      <c r="A2" s="7" t="inlineStr">
        <is>
          <t>Departamento</t>
        </is>
      </c>
      <c r="B2" s="7" t="inlineStr">
        <is>
          <t>Funcionários</t>
        </is>
      </c>
      <c r="C2" s="7" t="inlineStr">
        <is>
          <t>Salário Médio</t>
        </is>
      </c>
      <c r="D2" s="7" t="inlineStr">
        <is>
          <t>Total Salários</t>
        </is>
      </c>
      <c r="E2" s="7" t="inlineStr">
        <is>
          <t>Total Descontos</t>
        </is>
      </c>
      <c r="F2" s="7" t="inlineStr">
        <is>
          <t>Total Líquido</t>
        </is>
      </c>
    </row>
    <row r="3">
      <c r="A3" s="3" t="inlineStr">
        <is>
          <t>Administrativo</t>
        </is>
      </c>
      <c r="B3" s="3" t="n">
        <v>2</v>
      </c>
      <c r="C3" s="4" t="n">
        <v>2850</v>
      </c>
      <c r="D3" s="4" t="n">
        <v>5700</v>
      </c>
      <c r="E3" s="4" t="n">
        <v>1140</v>
      </c>
      <c r="F3" s="4" t="n">
        <v>4560</v>
      </c>
    </row>
    <row r="4">
      <c r="A4" s="3" t="inlineStr">
        <is>
          <t>Comercial</t>
        </is>
      </c>
      <c r="B4" s="3" t="n">
        <v>1</v>
      </c>
      <c r="C4" s="4" t="n">
        <v>7800</v>
      </c>
      <c r="D4" s="4" t="n">
        <v>7800</v>
      </c>
      <c r="E4" s="4" t="n">
        <v>1560</v>
      </c>
      <c r="F4" s="4" t="n">
        <v>6240</v>
      </c>
    </row>
    <row r="5">
      <c r="A5" s="3" t="inlineStr">
        <is>
          <t>Compras</t>
        </is>
      </c>
      <c r="B5" s="3" t="n">
        <v>1</v>
      </c>
      <c r="C5" s="4" t="n">
        <v>3200</v>
      </c>
      <c r="D5" s="4" t="n">
        <v>3200</v>
      </c>
      <c r="E5" s="4" t="n">
        <v>640</v>
      </c>
      <c r="F5" s="4" t="n">
        <v>2560</v>
      </c>
    </row>
    <row r="6">
      <c r="A6" s="3" t="inlineStr">
        <is>
          <t>Contabilidade</t>
        </is>
      </c>
      <c r="B6" s="3" t="n">
        <v>1</v>
      </c>
      <c r="C6" s="4" t="n">
        <v>3400</v>
      </c>
      <c r="D6" s="4" t="n">
        <v>3400</v>
      </c>
      <c r="E6" s="4" t="n">
        <v>680</v>
      </c>
      <c r="F6" s="4" t="n">
        <v>2720</v>
      </c>
    </row>
    <row r="7">
      <c r="A7" s="3" t="inlineStr">
        <is>
          <t>Financeiro</t>
        </is>
      </c>
      <c r="B7" s="3" t="n">
        <v>3</v>
      </c>
      <c r="C7" s="4" t="n">
        <v>4733.333333333333</v>
      </c>
      <c r="D7" s="4" t="n">
        <v>14200</v>
      </c>
      <c r="E7" s="4" t="n">
        <v>2840</v>
      </c>
      <c r="F7" s="4" t="n">
        <v>11360</v>
      </c>
    </row>
    <row r="8">
      <c r="A8" s="3" t="inlineStr">
        <is>
          <t>Logística</t>
        </is>
      </c>
      <c r="B8" s="3" t="n">
        <v>1</v>
      </c>
      <c r="C8" s="4" t="n">
        <v>2900</v>
      </c>
      <c r="D8" s="4" t="n">
        <v>2900</v>
      </c>
      <c r="E8" s="4" t="n">
        <v>580</v>
      </c>
      <c r="F8" s="4" t="n">
        <v>2320</v>
      </c>
    </row>
    <row r="9">
      <c r="A9" s="3" t="inlineStr">
        <is>
          <t>Marketing</t>
        </is>
      </c>
      <c r="B9" s="3" t="n">
        <v>3</v>
      </c>
      <c r="C9" s="4" t="n">
        <v>6300</v>
      </c>
      <c r="D9" s="4" t="n">
        <v>18900</v>
      </c>
      <c r="E9" s="4" t="n">
        <v>3780</v>
      </c>
      <c r="F9" s="4" t="n">
        <v>15120</v>
      </c>
    </row>
    <row r="10">
      <c r="A10" s="3" t="inlineStr">
        <is>
          <t>Operações</t>
        </is>
      </c>
      <c r="B10" s="3" t="n">
        <v>1</v>
      </c>
      <c r="C10" s="4" t="n">
        <v>9200</v>
      </c>
      <c r="D10" s="4" t="n">
        <v>9200</v>
      </c>
      <c r="E10" s="4" t="n">
        <v>1840</v>
      </c>
      <c r="F10" s="4" t="n">
        <v>7360</v>
      </c>
    </row>
    <row r="11">
      <c r="A11" s="3" t="inlineStr">
        <is>
          <t>Produção</t>
        </is>
      </c>
      <c r="B11" s="3" t="n">
        <v>1</v>
      </c>
      <c r="C11" s="4" t="n">
        <v>5900</v>
      </c>
      <c r="D11" s="4" t="n">
        <v>5900</v>
      </c>
      <c r="E11" s="4" t="n">
        <v>1180</v>
      </c>
      <c r="F11" s="4" t="n">
        <v>4720</v>
      </c>
    </row>
    <row r="12">
      <c r="A12" s="3" t="inlineStr">
        <is>
          <t>Qualidade</t>
        </is>
      </c>
      <c r="B12" s="3" t="n">
        <v>1</v>
      </c>
      <c r="C12" s="4" t="n">
        <v>5400</v>
      </c>
      <c r="D12" s="4" t="n">
        <v>5400</v>
      </c>
      <c r="E12" s="4" t="n">
        <v>1080</v>
      </c>
      <c r="F12" s="4" t="n">
        <v>4320</v>
      </c>
    </row>
    <row r="13">
      <c r="A13" s="3" t="inlineStr">
        <is>
          <t>RH</t>
        </is>
      </c>
      <c r="B13" s="3" t="n">
        <v>1</v>
      </c>
      <c r="C13" s="4" t="n">
        <v>4800</v>
      </c>
      <c r="D13" s="4" t="n">
        <v>4800</v>
      </c>
      <c r="E13" s="4" t="n">
        <v>960</v>
      </c>
      <c r="F13" s="4" t="n">
        <v>3840</v>
      </c>
    </row>
    <row r="14">
      <c r="A14" s="3" t="inlineStr">
        <is>
          <t>TI</t>
        </is>
      </c>
      <c r="B14" s="3" t="n">
        <v>3</v>
      </c>
      <c r="C14" s="4" t="n">
        <v>5700</v>
      </c>
      <c r="D14" s="4" t="n">
        <v>17100</v>
      </c>
      <c r="E14" s="4" t="n">
        <v>3420</v>
      </c>
      <c r="F14" s="4" t="n">
        <v>13680</v>
      </c>
    </row>
    <row r="15">
      <c r="A15" s="3" t="inlineStr">
        <is>
          <t>Vendas</t>
        </is>
      </c>
      <c r="B15" s="3" t="n">
        <v>1</v>
      </c>
      <c r="C15" s="4" t="n">
        <v>8500</v>
      </c>
      <c r="D15" s="4" t="n">
        <v>8500</v>
      </c>
      <c r="E15" s="4" t="n">
        <v>1700</v>
      </c>
      <c r="F15" s="4" t="n">
        <v>6800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35" customWidth="1" min="5" max="5"/>
  </cols>
  <sheetData>
    <row r="1" ht="30" customHeight="1">
      <c r="A1" s="1" t="inlineStr">
        <is>
          <t>ANÁLISE DE CUSTOS TRABALHISTAS</t>
        </is>
      </c>
    </row>
    <row r="2" ht="25" customHeight="1">
      <c r="A2" s="7" t="inlineStr">
        <is>
          <t>Item de Custo</t>
        </is>
      </c>
      <c r="B2" s="7" t="inlineStr">
        <is>
          <t>Valor Mensal</t>
        </is>
      </c>
      <c r="C2" s="7" t="inlineStr">
        <is>
          <t>Valor Anual</t>
        </is>
      </c>
      <c r="D2" s="7" t="inlineStr">
        <is>
          <t>% do Total</t>
        </is>
      </c>
      <c r="E2" s="7" t="inlineStr">
        <is>
          <t>Observação</t>
        </is>
      </c>
    </row>
    <row r="3">
      <c r="A3" s="8" t="inlineStr">
        <is>
          <t>Salários Base</t>
        </is>
      </c>
      <c r="B3" s="4" t="n">
        <v>107000</v>
      </c>
      <c r="C3" s="4" t="n">
        <v>1284000</v>
      </c>
      <c r="D3" s="9">
        <f>B3/$B$10*100</f>
        <v/>
      </c>
      <c r="E3" s="8" t="inlineStr">
        <is>
          <t>Soma de todos salários</t>
        </is>
      </c>
    </row>
    <row r="4">
      <c r="A4" s="8" t="inlineStr">
        <is>
          <t>INSS Patronal (20%)</t>
        </is>
      </c>
      <c r="B4" s="4" t="n">
        <v>21400</v>
      </c>
      <c r="C4" s="4" t="n">
        <v>256800</v>
      </c>
      <c r="D4" s="9">
        <f>B4/$B$10*100</f>
        <v/>
      </c>
      <c r="E4" s="8" t="inlineStr">
        <is>
          <t>Encargo obrigatório</t>
        </is>
      </c>
    </row>
    <row r="5">
      <c r="A5" s="8" t="inlineStr">
        <is>
          <t>FGTS (8%)</t>
        </is>
      </c>
      <c r="B5" s="4" t="n">
        <v>8560</v>
      </c>
      <c r="C5" s="4" t="n">
        <v>102720</v>
      </c>
      <c r="D5" s="9">
        <f>B5/$B$10*100</f>
        <v/>
      </c>
      <c r="E5" s="8" t="inlineStr">
        <is>
          <t>Fundo de Garantia</t>
        </is>
      </c>
    </row>
    <row r="6">
      <c r="A6" s="8" t="inlineStr">
        <is>
          <t>Vale Transporte</t>
        </is>
      </c>
      <c r="B6" s="4" t="n">
        <v>6420</v>
      </c>
      <c r="C6" s="4" t="n">
        <v>77040</v>
      </c>
      <c r="D6" s="9">
        <f>B6/$B$10*100</f>
        <v/>
      </c>
      <c r="E6" s="8" t="inlineStr">
        <is>
          <t>Desconto 6% do salário</t>
        </is>
      </c>
    </row>
    <row r="7">
      <c r="A7" s="8" t="inlineStr">
        <is>
          <t>Vale Refeição</t>
        </is>
      </c>
      <c r="B7" s="4" t="n">
        <v>12540</v>
      </c>
      <c r="C7" s="4" t="n">
        <v>150480</v>
      </c>
      <c r="D7" s="9">
        <f>B7/$B$10*100</f>
        <v/>
      </c>
      <c r="E7" s="8" t="inlineStr">
        <is>
          <t>R$ 28,50 por dia</t>
        </is>
      </c>
    </row>
    <row r="8">
      <c r="A8" s="8" t="inlineStr">
        <is>
          <t>Provisão Férias + 1/3</t>
        </is>
      </c>
      <c r="B8" s="4" t="n">
        <v>11859.16666666667</v>
      </c>
      <c r="C8" s="4" t="n">
        <v>142310</v>
      </c>
      <c r="D8" s="9">
        <f>B8/$B$10*100</f>
        <v/>
      </c>
      <c r="E8" s="8" t="inlineStr">
        <is>
          <t>Acúmulo mensal</t>
        </is>
      </c>
    </row>
    <row r="9">
      <c r="A9" s="8" t="inlineStr">
        <is>
          <t>Provisão 13º Salário</t>
        </is>
      </c>
      <c r="B9" s="4" t="n">
        <v>8916.666666666666</v>
      </c>
      <c r="C9" s="4" t="n">
        <v>107000</v>
      </c>
      <c r="D9" s="9">
        <f>B9/$B$10*100</f>
        <v/>
      </c>
      <c r="E9" s="8" t="inlineStr">
        <is>
          <t>Acúmulo mensal</t>
        </is>
      </c>
    </row>
    <row r="10">
      <c r="A10" s="10" t="inlineStr">
        <is>
          <t>TOTAL CUSTOS MENSAIS</t>
        </is>
      </c>
      <c r="B10" s="11">
        <f>SUM(B3:B9)</f>
        <v/>
      </c>
      <c r="C10" s="11">
        <f>C2+C3+C4+C5+C6+C7+C8+C9</f>
        <v/>
      </c>
      <c r="D10" s="12" t="n"/>
      <c r="E10" s="12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2025-12-15T12:59:34Z</dcterms:created>
  <dcterms:modified xsi:type="dcterms:W3CDTF">2025-12-15T12:59:34Z</dcterms:modified>
</cp:coreProperties>
</file>